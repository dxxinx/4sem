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4sem\mp\"/>
    </mc:Choice>
  </mc:AlternateContent>
  <xr:revisionPtr revIDLastSave="0" documentId="13_ncr:1_{FA06C005-DD86-4640-AA14-19025BFF25EC}" xr6:coauthVersionLast="47" xr6:coauthVersionMax="47" xr10:uidLastSave="{00000000-0000-0000-0000-000000000000}"/>
  <bookViews>
    <workbookView xWindow="-98" yWindow="-98" windowWidth="21795" windowHeight="12975" xr2:uid="{EF3769D6-AB40-4C9E-B645-DBA23F145BE9}"/>
  </bookViews>
  <sheets>
    <sheet name="Лист1" sheetId="1" r:id="rId1"/>
  </sheets>
  <definedNames>
    <definedName name="_gjdgxs" localSheetId="0">Лист1!$A$2</definedName>
    <definedName name="_Toc216614671" localSheetId="0">Лист1!$A$1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2" i="1" l="1"/>
  <c r="C262" i="1"/>
  <c r="C260" i="1"/>
  <c r="G259" i="1"/>
  <c r="C259" i="1"/>
  <c r="L229" i="1"/>
  <c r="P229" i="1"/>
  <c r="L232" i="1"/>
  <c r="N232" i="1"/>
  <c r="L230" i="1"/>
  <c r="E232" i="1"/>
  <c r="C232" i="1"/>
  <c r="C230" i="1"/>
  <c r="L210" i="1"/>
  <c r="L212" i="1"/>
  <c r="N212" i="1"/>
  <c r="E212" i="1"/>
  <c r="C212" i="1"/>
  <c r="L170" i="1"/>
  <c r="N170" i="1"/>
  <c r="C170" i="1"/>
  <c r="L145" i="1"/>
  <c r="E11" i="1"/>
  <c r="I8" i="1"/>
  <c r="B9" i="1"/>
</calcChain>
</file>

<file path=xl/sharedStrings.xml><?xml version="1.0" encoding="utf-8"?>
<sst xmlns="http://schemas.openxmlformats.org/spreadsheetml/2006/main" count="480" uniqueCount="115">
  <si>
    <t>ПОТРЕБИТЕЛИ</t>
  </si>
  <si>
    <t>ПОСТАВЩИКИ</t>
  </si>
  <si>
    <t>ЗАПАСЫ</t>
  </si>
  <si>
    <t>ПОТРЕБНОСТИ</t>
  </si>
  <si>
    <t>сумма</t>
  </si>
  <si>
    <t>868 != 720</t>
  </si>
  <si>
    <t>открытая</t>
  </si>
  <si>
    <t>868-720</t>
  </si>
  <si>
    <t>А -&gt;</t>
  </si>
  <si>
    <t>0\148</t>
  </si>
  <si>
    <t>6\106</t>
  </si>
  <si>
    <t>6\113</t>
  </si>
  <si>
    <t>7\1</t>
  </si>
  <si>
    <t>7\169</t>
  </si>
  <si>
    <t>8\101</t>
  </si>
  <si>
    <t>9\5</t>
  </si>
  <si>
    <t>9\88</t>
  </si>
  <si>
    <t>14\6</t>
  </si>
  <si>
    <t>16\77</t>
  </si>
  <si>
    <t>17\54</t>
  </si>
  <si>
    <t>опорный план</t>
  </si>
  <si>
    <t>построение ОПОРНЫЙ ПЛАН</t>
  </si>
  <si>
    <t>базовые потенциалы</t>
  </si>
  <si>
    <t>u1=0</t>
  </si>
  <si>
    <t>v4=9</t>
  </si>
  <si>
    <t>c14=9</t>
  </si>
  <si>
    <t>c16=7</t>
  </si>
  <si>
    <t>v6=7</t>
  </si>
  <si>
    <t>c44=9</t>
  </si>
  <si>
    <t>u4=0</t>
  </si>
  <si>
    <t>c54=6</t>
  </si>
  <si>
    <t>u5=-3</t>
  </si>
  <si>
    <t>c43=16</t>
  </si>
  <si>
    <t>v3=16</t>
  </si>
  <si>
    <t>u3=1</t>
  </si>
  <si>
    <t>v1=6</t>
  </si>
  <si>
    <t>v5=7</t>
  </si>
  <si>
    <t>c33=17</t>
  </si>
  <si>
    <t>c31=7</t>
  </si>
  <si>
    <t>c35=8</t>
  </si>
  <si>
    <t>c23=14</t>
  </si>
  <si>
    <t>u2=-2</t>
  </si>
  <si>
    <t>c61=0</t>
  </si>
  <si>
    <t>u6=-6</t>
  </si>
  <si>
    <t>c22=6</t>
  </si>
  <si>
    <t>v2=8</t>
  </si>
  <si>
    <t>u</t>
  </si>
  <si>
    <t xml:space="preserve"> v</t>
  </si>
  <si>
    <t>{ 6, 8, 16, 9, 7, 7 }</t>
  </si>
  <si>
    <t>{ 0, -2, 1, 0, -3, -6 }</t>
  </si>
  <si>
    <t>свободные потенциалы</t>
  </si>
  <si>
    <t>x11</t>
  </si>
  <si>
    <t>u1+v1-c11</t>
  </si>
  <si>
    <t>x12</t>
  </si>
  <si>
    <t>u1+v2-c12</t>
  </si>
  <si>
    <t>x13</t>
  </si>
  <si>
    <t>u1+v3-c13</t>
  </si>
  <si>
    <t>x15</t>
  </si>
  <si>
    <t>x21</t>
  </si>
  <si>
    <t>x24</t>
  </si>
  <si>
    <t>x25</t>
  </si>
  <si>
    <t>x26</t>
  </si>
  <si>
    <t>x32</t>
  </si>
  <si>
    <t>x34</t>
  </si>
  <si>
    <t>x36</t>
  </si>
  <si>
    <t>x41</t>
  </si>
  <si>
    <t>x42</t>
  </si>
  <si>
    <t>x45</t>
  </si>
  <si>
    <t>x46</t>
  </si>
  <si>
    <t>x51</t>
  </si>
  <si>
    <t>x52</t>
  </si>
  <si>
    <t>x53</t>
  </si>
  <si>
    <t>x55</t>
  </si>
  <si>
    <t>x56</t>
  </si>
  <si>
    <t>x61</t>
  </si>
  <si>
    <t>x62</t>
  </si>
  <si>
    <t>x63</t>
  </si>
  <si>
    <t>x64</t>
  </si>
  <si>
    <t>x65</t>
  </si>
  <si>
    <t>x66</t>
  </si>
  <si>
    <t>улучшение плана</t>
  </si>
  <si>
    <t>+</t>
  </si>
  <si>
    <t>-</t>
  </si>
  <si>
    <t>u6=-16</t>
  </si>
  <si>
    <t>c63=0</t>
  </si>
  <si>
    <t>v1=16</t>
  </si>
  <si>
    <t>u3=-9</t>
  </si>
  <si>
    <t>v5=17</t>
  </si>
  <si>
    <t>{ 0, -2, -9, 0, -3, -16 }</t>
  </si>
  <si>
    <t>{ 16, 8, 16, 9, 17, 7 }</t>
  </si>
  <si>
    <t>x33</t>
  </si>
  <si>
    <t>v1=10</t>
  </si>
  <si>
    <t>u3=-3</t>
  </si>
  <si>
    <t>v5=11</t>
  </si>
  <si>
    <t>u6=-10</t>
  </si>
  <si>
    <t>v3=10</t>
  </si>
  <si>
    <t>u2=4</t>
  </si>
  <si>
    <t>v2=2</t>
  </si>
  <si>
    <t>{ 0, 4, -3, 0, -3, -10 }</t>
  </si>
  <si>
    <t>{ 10, 2, 10, 9, 11, 7 }</t>
  </si>
  <si>
    <t>x43</t>
  </si>
  <si>
    <t>c24=11</t>
  </si>
  <si>
    <t>u2=2</t>
  </si>
  <si>
    <t>c43=10</t>
  </si>
  <si>
    <t>{ 0, 2, -3, 0, -3, -10 }</t>
  </si>
  <si>
    <t>{ 10, 4, 10, 9, 11, 7 }</t>
  </si>
  <si>
    <t>x23</t>
  </si>
  <si>
    <t>u6=-11</t>
  </si>
  <si>
    <t>v3=11</t>
  </si>
  <si>
    <t>c65=0</t>
  </si>
  <si>
    <t>{ 0, 2, -3, 0, -3, -11 }</t>
  </si>
  <si>
    <t>{ 10, 4, 11, 9, 11, 7 }</t>
  </si>
  <si>
    <t>ПЛАН ОПТИМАЛЕН</t>
  </si>
  <si>
    <t>СТОИМОСТЬ ПЕРЕВОЗКИ</t>
  </si>
  <si>
    <t>5*9+169*7+113*6+6*11+66*7+90*8+83*10+82*9+106*6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</si>
</sst>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0" xfId="0" applyFill="1"/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7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0" borderId="4" xfId="0" applyBorder="1"/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0" fontId="0" fillId="6" borderId="4" xfId="0" applyFill="1" applyBorder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ill="1" applyBorder="1"/>
    <xf numFmtId="0" fontId="0" fillId="10" borderId="4" xfId="0" applyFill="1" applyBorder="1"/>
    <xf numFmtId="0" fontId="0" fillId="0" borderId="4" xfId="0" applyFill="1" applyBorder="1"/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11" borderId="0" xfId="0" applyFill="1"/>
    <xf numFmtId="0" fontId="3" fillId="0" borderId="0" xfId="0" applyFont="1" applyAlignment="1">
      <alignment horizontal="center"/>
    </xf>
    <xf numFmtId="0" fontId="0" fillId="1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9F93-E1D4-4E3A-AAD2-5E34B6A11BEB}">
  <dimension ref="A1:AE263"/>
  <sheetViews>
    <sheetView tabSelected="1" topLeftCell="A77" zoomScale="64" zoomScaleNormal="179" workbookViewId="0">
      <selection activeCell="P256" sqref="P256"/>
    </sheetView>
  </sheetViews>
  <sheetFormatPr defaultRowHeight="14.25" x14ac:dyDescent="0.45"/>
  <sheetData>
    <row r="1" spans="1:9" ht="26.25" x14ac:dyDescent="0.45">
      <c r="A1" s="2" t="s">
        <v>0</v>
      </c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 t="s">
        <v>2</v>
      </c>
    </row>
    <row r="2" spans="1:9" ht="26.65" thickBot="1" x14ac:dyDescent="0.5">
      <c r="A2" s="3" t="s">
        <v>1</v>
      </c>
      <c r="B2" s="10"/>
      <c r="C2" s="10"/>
      <c r="D2" s="10"/>
      <c r="E2" s="10"/>
      <c r="F2" s="10"/>
      <c r="G2" s="10"/>
      <c r="H2" s="10"/>
    </row>
    <row r="3" spans="1:9" ht="17.649999999999999" thickBot="1" x14ac:dyDescent="0.5">
      <c r="A3" s="3">
        <v>1</v>
      </c>
      <c r="B3" s="1">
        <v>18</v>
      </c>
      <c r="C3" s="1">
        <v>8</v>
      </c>
      <c r="D3" s="1">
        <v>12</v>
      </c>
      <c r="E3" s="1">
        <v>9</v>
      </c>
      <c r="F3" s="1">
        <v>17</v>
      </c>
      <c r="G3" s="1">
        <v>7</v>
      </c>
      <c r="H3" s="1">
        <v>174</v>
      </c>
    </row>
    <row r="4" spans="1:9" ht="17.649999999999999" thickBot="1" x14ac:dyDescent="0.5">
      <c r="A4" s="3">
        <v>2</v>
      </c>
      <c r="B4" s="1">
        <v>16</v>
      </c>
      <c r="C4" s="1">
        <v>6</v>
      </c>
      <c r="D4" s="1">
        <v>14</v>
      </c>
      <c r="E4" s="1">
        <v>11</v>
      </c>
      <c r="F4" s="1">
        <v>13</v>
      </c>
      <c r="G4" s="1">
        <v>19</v>
      </c>
      <c r="H4" s="1">
        <v>119</v>
      </c>
    </row>
    <row r="5" spans="1:9" ht="17.649999999999999" thickBot="1" x14ac:dyDescent="0.5">
      <c r="A5" s="3">
        <v>3</v>
      </c>
      <c r="B5" s="1">
        <v>7</v>
      </c>
      <c r="C5" s="1">
        <v>11</v>
      </c>
      <c r="D5" s="1">
        <v>17</v>
      </c>
      <c r="E5" s="1">
        <v>14</v>
      </c>
      <c r="F5" s="1">
        <v>8</v>
      </c>
      <c r="G5" s="1">
        <v>17</v>
      </c>
      <c r="H5" s="1">
        <v>156</v>
      </c>
    </row>
    <row r="6" spans="1:9" ht="17.649999999999999" thickBot="1" x14ac:dyDescent="0.5">
      <c r="A6" s="3">
        <v>4</v>
      </c>
      <c r="B6" s="1">
        <v>10</v>
      </c>
      <c r="C6" s="1">
        <v>16</v>
      </c>
      <c r="D6" s="1">
        <v>16</v>
      </c>
      <c r="E6" s="1">
        <v>9</v>
      </c>
      <c r="F6" s="1">
        <v>19</v>
      </c>
      <c r="G6" s="1">
        <v>8</v>
      </c>
      <c r="H6" s="1">
        <v>165</v>
      </c>
    </row>
    <row r="7" spans="1:9" ht="17.649999999999999" thickBot="1" x14ac:dyDescent="0.5">
      <c r="A7" s="3">
        <v>5</v>
      </c>
      <c r="B7" s="1">
        <v>9</v>
      </c>
      <c r="C7" s="1">
        <v>17</v>
      </c>
      <c r="D7" s="1">
        <v>15</v>
      </c>
      <c r="E7" s="1">
        <v>6</v>
      </c>
      <c r="F7" s="1">
        <v>16</v>
      </c>
      <c r="G7" s="1">
        <v>10</v>
      </c>
      <c r="H7" s="1">
        <v>106</v>
      </c>
      <c r="I7" t="s">
        <v>4</v>
      </c>
    </row>
    <row r="8" spans="1:9" ht="26.65" thickBot="1" x14ac:dyDescent="0.5">
      <c r="A8" s="3" t="s">
        <v>3</v>
      </c>
      <c r="B8" s="1">
        <v>149</v>
      </c>
      <c r="C8" s="1">
        <v>113</v>
      </c>
      <c r="D8" s="1">
        <v>137</v>
      </c>
      <c r="E8" s="1">
        <v>199</v>
      </c>
      <c r="F8" s="1">
        <v>101</v>
      </c>
      <c r="G8" s="1">
        <v>169</v>
      </c>
      <c r="H8" s="1"/>
      <c r="I8">
        <f>SUM(H3:H7)</f>
        <v>720</v>
      </c>
    </row>
    <row r="9" spans="1:9" x14ac:dyDescent="0.45">
      <c r="A9" t="s">
        <v>4</v>
      </c>
      <c r="B9">
        <f>SUM(B8:G8)</f>
        <v>868</v>
      </c>
    </row>
    <row r="11" spans="1:9" x14ac:dyDescent="0.45">
      <c r="A11" s="4" t="s">
        <v>5</v>
      </c>
      <c r="B11" s="4" t="s">
        <v>6</v>
      </c>
      <c r="D11" t="s">
        <v>7</v>
      </c>
      <c r="E11">
        <f>148</f>
        <v>148</v>
      </c>
    </row>
    <row r="14" spans="1:9" ht="14.65" thickBot="1" x14ac:dyDescent="0.5">
      <c r="A14" s="11" t="s">
        <v>21</v>
      </c>
      <c r="B14" s="11"/>
      <c r="C14" s="11"/>
      <c r="E14" t="s">
        <v>8</v>
      </c>
    </row>
    <row r="15" spans="1:9" ht="26.25" x14ac:dyDescent="0.45">
      <c r="A15" s="2" t="s">
        <v>0</v>
      </c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 t="s">
        <v>2</v>
      </c>
    </row>
    <row r="16" spans="1:9" ht="26.65" thickBot="1" x14ac:dyDescent="0.5">
      <c r="A16" s="3" t="s">
        <v>1</v>
      </c>
      <c r="B16" s="10"/>
      <c r="C16" s="10"/>
      <c r="D16" s="10"/>
      <c r="E16" s="10"/>
      <c r="F16" s="10"/>
      <c r="G16" s="10"/>
      <c r="H16" s="10"/>
    </row>
    <row r="17" spans="1:8" ht="17.649999999999999" thickBot="1" x14ac:dyDescent="0.5">
      <c r="A17" s="3">
        <v>1</v>
      </c>
      <c r="B17" s="1">
        <v>18</v>
      </c>
      <c r="C17" s="1">
        <v>8</v>
      </c>
      <c r="D17" s="1">
        <v>12</v>
      </c>
      <c r="E17" s="1">
        <v>9</v>
      </c>
      <c r="F17" s="1">
        <v>17</v>
      </c>
      <c r="G17" s="1">
        <v>7</v>
      </c>
      <c r="H17" s="1">
        <v>174</v>
      </c>
    </row>
    <row r="18" spans="1:8" ht="17.649999999999999" thickBot="1" x14ac:dyDescent="0.5">
      <c r="A18" s="3">
        <v>2</v>
      </c>
      <c r="B18" s="1">
        <v>16</v>
      </c>
      <c r="C18" s="1">
        <v>6</v>
      </c>
      <c r="D18" s="1">
        <v>14</v>
      </c>
      <c r="E18" s="1">
        <v>11</v>
      </c>
      <c r="F18" s="1">
        <v>13</v>
      </c>
      <c r="G18" s="1">
        <v>19</v>
      </c>
      <c r="H18" s="1">
        <v>119</v>
      </c>
    </row>
    <row r="19" spans="1:8" ht="17.649999999999999" thickBot="1" x14ac:dyDescent="0.5">
      <c r="A19" s="3">
        <v>3</v>
      </c>
      <c r="B19" s="1">
        <v>7</v>
      </c>
      <c r="C19" s="1">
        <v>11</v>
      </c>
      <c r="D19" s="1">
        <v>17</v>
      </c>
      <c r="E19" s="1">
        <v>14</v>
      </c>
      <c r="F19" s="1">
        <v>8</v>
      </c>
      <c r="G19" s="1">
        <v>17</v>
      </c>
      <c r="H19" s="1">
        <v>156</v>
      </c>
    </row>
    <row r="20" spans="1:8" ht="17.649999999999999" thickBot="1" x14ac:dyDescent="0.5">
      <c r="A20" s="3">
        <v>4</v>
      </c>
      <c r="B20" s="1">
        <v>10</v>
      </c>
      <c r="C20" s="1">
        <v>16</v>
      </c>
      <c r="D20" s="1">
        <v>16</v>
      </c>
      <c r="E20" s="1">
        <v>9</v>
      </c>
      <c r="F20" s="1">
        <v>19</v>
      </c>
      <c r="G20" s="1">
        <v>8</v>
      </c>
      <c r="H20" s="1">
        <v>165</v>
      </c>
    </row>
    <row r="21" spans="1:8" ht="17.649999999999999" thickBot="1" x14ac:dyDescent="0.5">
      <c r="A21" s="3">
        <v>5</v>
      </c>
      <c r="B21" s="1">
        <v>9</v>
      </c>
      <c r="C21" s="1">
        <v>17</v>
      </c>
      <c r="D21" s="1">
        <v>15</v>
      </c>
      <c r="E21" s="1">
        <v>6</v>
      </c>
      <c r="F21" s="1">
        <v>16</v>
      </c>
      <c r="G21" s="1">
        <v>10</v>
      </c>
      <c r="H21" s="1">
        <v>106</v>
      </c>
    </row>
    <row r="22" spans="1:8" ht="17.649999999999999" thickBot="1" x14ac:dyDescent="0.5">
      <c r="A22" s="3">
        <v>6</v>
      </c>
      <c r="B22" s="5" t="s">
        <v>9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6">
        <v>148</v>
      </c>
    </row>
    <row r="23" spans="1:8" ht="26.65" thickBot="1" x14ac:dyDescent="0.5">
      <c r="A23" s="3" t="s">
        <v>3</v>
      </c>
      <c r="B23" s="6">
        <v>149</v>
      </c>
      <c r="C23" s="1">
        <v>113</v>
      </c>
      <c r="D23" s="1">
        <v>137</v>
      </c>
      <c r="E23" s="1">
        <v>199</v>
      </c>
      <c r="F23" s="1">
        <v>101</v>
      </c>
      <c r="G23" s="1">
        <v>169</v>
      </c>
      <c r="H23" s="1"/>
    </row>
    <row r="24" spans="1:8" ht="14.65" thickBot="1" x14ac:dyDescent="0.5"/>
    <row r="25" spans="1:8" ht="26.25" x14ac:dyDescent="0.45">
      <c r="A25" s="2" t="s">
        <v>0</v>
      </c>
      <c r="B25" s="9">
        <v>1</v>
      </c>
      <c r="C25" s="9">
        <v>2</v>
      </c>
      <c r="D25" s="9">
        <v>3</v>
      </c>
      <c r="E25" s="9">
        <v>4</v>
      </c>
      <c r="F25" s="9">
        <v>5</v>
      </c>
      <c r="G25" s="9">
        <v>6</v>
      </c>
      <c r="H25" s="9" t="s">
        <v>2</v>
      </c>
    </row>
    <row r="26" spans="1:8" ht="26.65" thickBot="1" x14ac:dyDescent="0.5">
      <c r="A26" s="3" t="s">
        <v>1</v>
      </c>
      <c r="B26" s="10"/>
      <c r="C26" s="10"/>
      <c r="D26" s="10"/>
      <c r="E26" s="10"/>
      <c r="F26" s="10"/>
      <c r="G26" s="10"/>
      <c r="H26" s="10"/>
    </row>
    <row r="27" spans="1:8" ht="17.649999999999999" thickBot="1" x14ac:dyDescent="0.5">
      <c r="A27" s="3">
        <v>1</v>
      </c>
      <c r="B27" s="1">
        <v>18</v>
      </c>
      <c r="C27" s="1">
        <v>8</v>
      </c>
      <c r="D27" s="1">
        <v>12</v>
      </c>
      <c r="E27" s="1">
        <v>9</v>
      </c>
      <c r="F27" s="1">
        <v>17</v>
      </c>
      <c r="G27" s="1">
        <v>7</v>
      </c>
      <c r="H27" s="1">
        <v>174</v>
      </c>
    </row>
    <row r="28" spans="1:8" ht="17.649999999999999" thickBot="1" x14ac:dyDescent="0.5">
      <c r="A28" s="3">
        <v>2</v>
      </c>
      <c r="B28" s="1">
        <v>16</v>
      </c>
      <c r="C28" s="1">
        <v>6</v>
      </c>
      <c r="D28" s="1">
        <v>14</v>
      </c>
      <c r="E28" s="1">
        <v>11</v>
      </c>
      <c r="F28" s="1">
        <v>13</v>
      </c>
      <c r="G28" s="1">
        <v>19</v>
      </c>
      <c r="H28" s="1">
        <v>119</v>
      </c>
    </row>
    <row r="29" spans="1:8" ht="17.649999999999999" thickBot="1" x14ac:dyDescent="0.5">
      <c r="A29" s="3">
        <v>3</v>
      </c>
      <c r="B29" s="1">
        <v>7</v>
      </c>
      <c r="C29" s="1">
        <v>11</v>
      </c>
      <c r="D29" s="1">
        <v>17</v>
      </c>
      <c r="E29" s="1">
        <v>14</v>
      </c>
      <c r="F29" s="1">
        <v>8</v>
      </c>
      <c r="G29" s="1">
        <v>17</v>
      </c>
      <c r="H29" s="1">
        <v>156</v>
      </c>
    </row>
    <row r="30" spans="1:8" ht="17.649999999999999" thickBot="1" x14ac:dyDescent="0.5">
      <c r="A30" s="3">
        <v>4</v>
      </c>
      <c r="B30" s="1">
        <v>10</v>
      </c>
      <c r="C30" s="1">
        <v>16</v>
      </c>
      <c r="D30" s="1">
        <v>16</v>
      </c>
      <c r="E30" s="1">
        <v>9</v>
      </c>
      <c r="F30" s="1">
        <v>19</v>
      </c>
      <c r="G30" s="1">
        <v>8</v>
      </c>
      <c r="H30" s="1">
        <v>165</v>
      </c>
    </row>
    <row r="31" spans="1:8" ht="17.649999999999999" thickBot="1" x14ac:dyDescent="0.5">
      <c r="A31" s="3">
        <v>5</v>
      </c>
      <c r="B31" s="7">
        <v>9</v>
      </c>
      <c r="C31" s="7">
        <v>17</v>
      </c>
      <c r="D31" s="7">
        <v>15</v>
      </c>
      <c r="E31" s="5" t="s">
        <v>10</v>
      </c>
      <c r="F31" s="7">
        <v>16</v>
      </c>
      <c r="G31" s="7">
        <v>10</v>
      </c>
      <c r="H31" s="6">
        <v>106</v>
      </c>
    </row>
    <row r="32" spans="1:8" ht="17.649999999999999" thickBot="1" x14ac:dyDescent="0.5">
      <c r="A32" s="3">
        <v>6</v>
      </c>
      <c r="B32" s="5" t="s">
        <v>9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6">
        <v>148</v>
      </c>
    </row>
    <row r="33" spans="1:8" ht="26.65" thickBot="1" x14ac:dyDescent="0.5">
      <c r="A33" s="3" t="s">
        <v>3</v>
      </c>
      <c r="B33" s="6">
        <v>149</v>
      </c>
      <c r="C33" s="1">
        <v>113</v>
      </c>
      <c r="D33" s="1">
        <v>137</v>
      </c>
      <c r="E33" s="6">
        <v>199</v>
      </c>
      <c r="F33" s="1">
        <v>101</v>
      </c>
      <c r="G33" s="1">
        <v>169</v>
      </c>
      <c r="H33" s="1"/>
    </row>
    <row r="34" spans="1:8" ht="14.65" thickBot="1" x14ac:dyDescent="0.5"/>
    <row r="35" spans="1:8" ht="26.25" x14ac:dyDescent="0.45">
      <c r="A35" s="2" t="s">
        <v>0</v>
      </c>
      <c r="B35" s="9">
        <v>1</v>
      </c>
      <c r="C35" s="9">
        <v>2</v>
      </c>
      <c r="D35" s="9">
        <v>3</v>
      </c>
      <c r="E35" s="9">
        <v>4</v>
      </c>
      <c r="F35" s="9">
        <v>5</v>
      </c>
      <c r="G35" s="9">
        <v>6</v>
      </c>
      <c r="H35" s="9" t="s">
        <v>2</v>
      </c>
    </row>
    <row r="36" spans="1:8" ht="26.65" thickBot="1" x14ac:dyDescent="0.5">
      <c r="A36" s="3" t="s">
        <v>1</v>
      </c>
      <c r="B36" s="10"/>
      <c r="C36" s="10"/>
      <c r="D36" s="10"/>
      <c r="E36" s="10"/>
      <c r="F36" s="10"/>
      <c r="G36" s="10"/>
      <c r="H36" s="10"/>
    </row>
    <row r="37" spans="1:8" ht="17.649999999999999" thickBot="1" x14ac:dyDescent="0.5">
      <c r="A37" s="3">
        <v>1</v>
      </c>
      <c r="B37" s="1">
        <v>18</v>
      </c>
      <c r="C37" s="7">
        <v>8</v>
      </c>
      <c r="D37" s="1">
        <v>12</v>
      </c>
      <c r="E37" s="1">
        <v>9</v>
      </c>
      <c r="F37" s="1">
        <v>17</v>
      </c>
      <c r="G37" s="1">
        <v>7</v>
      </c>
      <c r="H37" s="1">
        <v>174</v>
      </c>
    </row>
    <row r="38" spans="1:8" ht="17.649999999999999" thickBot="1" x14ac:dyDescent="0.5">
      <c r="A38" s="3">
        <v>2</v>
      </c>
      <c r="B38" s="1">
        <v>16</v>
      </c>
      <c r="C38" s="5" t="s">
        <v>11</v>
      </c>
      <c r="D38" s="1">
        <v>14</v>
      </c>
      <c r="E38" s="1">
        <v>11</v>
      </c>
      <c r="F38" s="1">
        <v>13</v>
      </c>
      <c r="G38" s="1">
        <v>19</v>
      </c>
      <c r="H38" s="6">
        <v>119</v>
      </c>
    </row>
    <row r="39" spans="1:8" ht="17.649999999999999" thickBot="1" x14ac:dyDescent="0.5">
      <c r="A39" s="3">
        <v>3</v>
      </c>
      <c r="B39" s="1">
        <v>7</v>
      </c>
      <c r="C39" s="7">
        <v>11</v>
      </c>
      <c r="D39" s="1">
        <v>17</v>
      </c>
      <c r="E39" s="1">
        <v>14</v>
      </c>
      <c r="F39" s="1">
        <v>8</v>
      </c>
      <c r="G39" s="1">
        <v>17</v>
      </c>
      <c r="H39" s="1">
        <v>156</v>
      </c>
    </row>
    <row r="40" spans="1:8" ht="17.649999999999999" thickBot="1" x14ac:dyDescent="0.5">
      <c r="A40" s="3">
        <v>4</v>
      </c>
      <c r="B40" s="1">
        <v>10</v>
      </c>
      <c r="C40" s="7">
        <v>16</v>
      </c>
      <c r="D40" s="1">
        <v>16</v>
      </c>
      <c r="E40" s="1">
        <v>9</v>
      </c>
      <c r="F40" s="1">
        <v>19</v>
      </c>
      <c r="G40" s="1">
        <v>8</v>
      </c>
      <c r="H40" s="1">
        <v>165</v>
      </c>
    </row>
    <row r="41" spans="1:8" ht="17.649999999999999" thickBot="1" x14ac:dyDescent="0.5">
      <c r="A41" s="3">
        <v>5</v>
      </c>
      <c r="B41" s="7">
        <v>9</v>
      </c>
      <c r="C41" s="7">
        <v>17</v>
      </c>
      <c r="D41" s="7">
        <v>15</v>
      </c>
      <c r="E41" s="5" t="s">
        <v>10</v>
      </c>
      <c r="F41" s="7">
        <v>16</v>
      </c>
      <c r="G41" s="7">
        <v>10</v>
      </c>
      <c r="H41" s="6">
        <v>106</v>
      </c>
    </row>
    <row r="42" spans="1:8" ht="17.649999999999999" thickBot="1" x14ac:dyDescent="0.5">
      <c r="A42" s="3">
        <v>6</v>
      </c>
      <c r="B42" s="5" t="s">
        <v>9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6">
        <v>148</v>
      </c>
    </row>
    <row r="43" spans="1:8" ht="26.65" thickBot="1" x14ac:dyDescent="0.5">
      <c r="A43" s="3" t="s">
        <v>3</v>
      </c>
      <c r="B43" s="6">
        <v>149</v>
      </c>
      <c r="C43" s="6">
        <v>113</v>
      </c>
      <c r="D43" s="1">
        <v>137</v>
      </c>
      <c r="E43" s="6">
        <v>199</v>
      </c>
      <c r="F43" s="1">
        <v>101</v>
      </c>
      <c r="G43" s="1">
        <v>169</v>
      </c>
      <c r="H43" s="1"/>
    </row>
    <row r="44" spans="1:8" ht="14.65" thickBot="1" x14ac:dyDescent="0.5"/>
    <row r="45" spans="1:8" ht="26.25" x14ac:dyDescent="0.45">
      <c r="A45" s="2" t="s">
        <v>0</v>
      </c>
      <c r="B45" s="9">
        <v>1</v>
      </c>
      <c r="C45" s="9">
        <v>2</v>
      </c>
      <c r="D45" s="9">
        <v>3</v>
      </c>
      <c r="E45" s="9">
        <v>4</v>
      </c>
      <c r="F45" s="9">
        <v>5</v>
      </c>
      <c r="G45" s="9">
        <v>6</v>
      </c>
      <c r="H45" s="9" t="s">
        <v>2</v>
      </c>
    </row>
    <row r="46" spans="1:8" ht="26.65" thickBot="1" x14ac:dyDescent="0.5">
      <c r="A46" s="3" t="s">
        <v>1</v>
      </c>
      <c r="B46" s="10"/>
      <c r="C46" s="10"/>
      <c r="D46" s="10"/>
      <c r="E46" s="10"/>
      <c r="F46" s="10"/>
      <c r="G46" s="10"/>
      <c r="H46" s="10"/>
    </row>
    <row r="47" spans="1:8" ht="17.649999999999999" thickBot="1" x14ac:dyDescent="0.5">
      <c r="A47" s="3">
        <v>1</v>
      </c>
      <c r="B47" s="7">
        <v>18</v>
      </c>
      <c r="C47" s="7">
        <v>8</v>
      </c>
      <c r="D47" s="1">
        <v>12</v>
      </c>
      <c r="E47" s="1">
        <v>9</v>
      </c>
      <c r="F47" s="1">
        <v>17</v>
      </c>
      <c r="G47" s="1">
        <v>7</v>
      </c>
      <c r="H47" s="1">
        <v>174</v>
      </c>
    </row>
    <row r="48" spans="1:8" ht="17.649999999999999" thickBot="1" x14ac:dyDescent="0.5">
      <c r="A48" s="3">
        <v>2</v>
      </c>
      <c r="B48" s="7">
        <v>16</v>
      </c>
      <c r="C48" s="5" t="s">
        <v>11</v>
      </c>
      <c r="D48" s="1">
        <v>14</v>
      </c>
      <c r="E48" s="1">
        <v>11</v>
      </c>
      <c r="F48" s="1">
        <v>13</v>
      </c>
      <c r="G48" s="1">
        <v>19</v>
      </c>
      <c r="H48" s="6">
        <v>119</v>
      </c>
    </row>
    <row r="49" spans="1:8" ht="17.649999999999999" thickBot="1" x14ac:dyDescent="0.5">
      <c r="A49" s="3">
        <v>3</v>
      </c>
      <c r="B49" s="5" t="s">
        <v>12</v>
      </c>
      <c r="C49" s="7">
        <v>11</v>
      </c>
      <c r="D49" s="1">
        <v>17</v>
      </c>
      <c r="E49" s="1">
        <v>14</v>
      </c>
      <c r="F49" s="1">
        <v>8</v>
      </c>
      <c r="G49" s="1">
        <v>17</v>
      </c>
      <c r="H49" s="6">
        <v>156</v>
      </c>
    </row>
    <row r="50" spans="1:8" ht="17.649999999999999" thickBot="1" x14ac:dyDescent="0.5">
      <c r="A50" s="3">
        <v>4</v>
      </c>
      <c r="B50" s="7">
        <v>10</v>
      </c>
      <c r="C50" s="7">
        <v>16</v>
      </c>
      <c r="D50" s="1">
        <v>16</v>
      </c>
      <c r="E50" s="1">
        <v>9</v>
      </c>
      <c r="F50" s="1">
        <v>19</v>
      </c>
      <c r="G50" s="1">
        <v>8</v>
      </c>
      <c r="H50" s="1">
        <v>165</v>
      </c>
    </row>
    <row r="51" spans="1:8" ht="17.649999999999999" thickBot="1" x14ac:dyDescent="0.5">
      <c r="A51" s="3">
        <v>5</v>
      </c>
      <c r="B51" s="7">
        <v>9</v>
      </c>
      <c r="C51" s="7">
        <v>17</v>
      </c>
      <c r="D51" s="7">
        <v>15</v>
      </c>
      <c r="E51" s="5" t="s">
        <v>10</v>
      </c>
      <c r="F51" s="7">
        <v>16</v>
      </c>
      <c r="G51" s="7">
        <v>10</v>
      </c>
      <c r="H51" s="6">
        <v>106</v>
      </c>
    </row>
    <row r="52" spans="1:8" ht="17.649999999999999" thickBot="1" x14ac:dyDescent="0.5">
      <c r="A52" s="3">
        <v>6</v>
      </c>
      <c r="B52" s="5" t="s">
        <v>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6">
        <v>148</v>
      </c>
    </row>
    <row r="53" spans="1:8" ht="26.65" thickBot="1" x14ac:dyDescent="0.5">
      <c r="A53" s="3" t="s">
        <v>3</v>
      </c>
      <c r="B53" s="6">
        <v>149</v>
      </c>
      <c r="C53" s="6">
        <v>113</v>
      </c>
      <c r="D53" s="1">
        <v>137</v>
      </c>
      <c r="E53" s="6">
        <v>199</v>
      </c>
      <c r="F53" s="1">
        <v>101</v>
      </c>
      <c r="G53" s="1">
        <v>169</v>
      </c>
      <c r="H53" s="1"/>
    </row>
    <row r="54" spans="1:8" ht="14.65" thickBot="1" x14ac:dyDescent="0.5"/>
    <row r="55" spans="1:8" ht="26.25" x14ac:dyDescent="0.45">
      <c r="A55" s="2" t="s">
        <v>0</v>
      </c>
      <c r="B55" s="9">
        <v>1</v>
      </c>
      <c r="C55" s="9">
        <v>2</v>
      </c>
      <c r="D55" s="9">
        <v>3</v>
      </c>
      <c r="E55" s="9">
        <v>4</v>
      </c>
      <c r="F55" s="9">
        <v>5</v>
      </c>
      <c r="G55" s="9">
        <v>6</v>
      </c>
      <c r="H55" s="9" t="s">
        <v>2</v>
      </c>
    </row>
    <row r="56" spans="1:8" ht="26.65" thickBot="1" x14ac:dyDescent="0.5">
      <c r="A56" s="3" t="s">
        <v>1</v>
      </c>
      <c r="B56" s="10"/>
      <c r="C56" s="10"/>
      <c r="D56" s="10"/>
      <c r="E56" s="10"/>
      <c r="F56" s="10"/>
      <c r="G56" s="10"/>
      <c r="H56" s="10"/>
    </row>
    <row r="57" spans="1:8" ht="17.649999999999999" thickBot="1" x14ac:dyDescent="0.5">
      <c r="A57" s="3">
        <v>1</v>
      </c>
      <c r="B57" s="7">
        <v>18</v>
      </c>
      <c r="C57" s="7">
        <v>8</v>
      </c>
      <c r="D57" s="1">
        <v>12</v>
      </c>
      <c r="E57" s="1">
        <v>9</v>
      </c>
      <c r="F57" s="7">
        <v>17</v>
      </c>
      <c r="G57" s="5" t="s">
        <v>13</v>
      </c>
      <c r="H57" s="6">
        <v>174</v>
      </c>
    </row>
    <row r="58" spans="1:8" ht="17.649999999999999" thickBot="1" x14ac:dyDescent="0.5">
      <c r="A58" s="3">
        <v>2</v>
      </c>
      <c r="B58" s="7">
        <v>16</v>
      </c>
      <c r="C58" s="5" t="s">
        <v>11</v>
      </c>
      <c r="D58" s="1">
        <v>14</v>
      </c>
      <c r="E58" s="1">
        <v>11</v>
      </c>
      <c r="F58" s="7">
        <v>13</v>
      </c>
      <c r="G58" s="7">
        <v>19</v>
      </c>
      <c r="H58" s="6">
        <v>119</v>
      </c>
    </row>
    <row r="59" spans="1:8" ht="17.649999999999999" thickBot="1" x14ac:dyDescent="0.5">
      <c r="A59" s="3">
        <v>3</v>
      </c>
      <c r="B59" s="5" t="s">
        <v>12</v>
      </c>
      <c r="C59" s="7">
        <v>11</v>
      </c>
      <c r="D59" s="1">
        <v>17</v>
      </c>
      <c r="E59" s="1">
        <v>14</v>
      </c>
      <c r="F59" s="5" t="s">
        <v>14</v>
      </c>
      <c r="G59" s="7">
        <v>17</v>
      </c>
      <c r="H59" s="6">
        <v>156</v>
      </c>
    </row>
    <row r="60" spans="1:8" ht="17.649999999999999" thickBot="1" x14ac:dyDescent="0.5">
      <c r="A60" s="3">
        <v>4</v>
      </c>
      <c r="B60" s="7">
        <v>10</v>
      </c>
      <c r="C60" s="7">
        <v>16</v>
      </c>
      <c r="D60" s="1">
        <v>16</v>
      </c>
      <c r="E60" s="1">
        <v>9</v>
      </c>
      <c r="F60" s="7">
        <v>19</v>
      </c>
      <c r="G60" s="7">
        <v>8</v>
      </c>
      <c r="H60" s="1">
        <v>165</v>
      </c>
    </row>
    <row r="61" spans="1:8" ht="17.649999999999999" thickBot="1" x14ac:dyDescent="0.5">
      <c r="A61" s="3">
        <v>5</v>
      </c>
      <c r="B61" s="7">
        <v>9</v>
      </c>
      <c r="C61" s="7">
        <v>17</v>
      </c>
      <c r="D61" s="7">
        <v>15</v>
      </c>
      <c r="E61" s="5" t="s">
        <v>10</v>
      </c>
      <c r="F61" s="7">
        <v>16</v>
      </c>
      <c r="G61" s="7">
        <v>10</v>
      </c>
      <c r="H61" s="6">
        <v>106</v>
      </c>
    </row>
    <row r="62" spans="1:8" ht="17.649999999999999" thickBot="1" x14ac:dyDescent="0.5">
      <c r="A62" s="3">
        <v>6</v>
      </c>
      <c r="B62" s="5" t="s">
        <v>9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6">
        <v>148</v>
      </c>
    </row>
    <row r="63" spans="1:8" ht="26.65" thickBot="1" x14ac:dyDescent="0.5">
      <c r="A63" s="3" t="s">
        <v>3</v>
      </c>
      <c r="B63" s="6">
        <v>149</v>
      </c>
      <c r="C63" s="6">
        <v>113</v>
      </c>
      <c r="D63" s="1">
        <v>137</v>
      </c>
      <c r="E63" s="6">
        <v>199</v>
      </c>
      <c r="F63" s="6">
        <v>101</v>
      </c>
      <c r="G63" s="6">
        <v>169</v>
      </c>
      <c r="H63" s="1"/>
    </row>
    <row r="64" spans="1:8" ht="14.65" thickBot="1" x14ac:dyDescent="0.5"/>
    <row r="65" spans="1:8" ht="26.25" x14ac:dyDescent="0.45">
      <c r="A65" s="2" t="s">
        <v>0</v>
      </c>
      <c r="B65" s="9">
        <v>1</v>
      </c>
      <c r="C65" s="9">
        <v>2</v>
      </c>
      <c r="D65" s="9">
        <v>3</v>
      </c>
      <c r="E65" s="9">
        <v>4</v>
      </c>
      <c r="F65" s="9">
        <v>5</v>
      </c>
      <c r="G65" s="9">
        <v>6</v>
      </c>
      <c r="H65" s="9" t="s">
        <v>2</v>
      </c>
    </row>
    <row r="66" spans="1:8" ht="26.65" thickBot="1" x14ac:dyDescent="0.5">
      <c r="A66" s="3" t="s">
        <v>1</v>
      </c>
      <c r="B66" s="10"/>
      <c r="C66" s="10"/>
      <c r="D66" s="10"/>
      <c r="E66" s="10"/>
      <c r="F66" s="10"/>
      <c r="G66" s="10"/>
      <c r="H66" s="10"/>
    </row>
    <row r="67" spans="1:8" ht="17.649999999999999" thickBot="1" x14ac:dyDescent="0.5">
      <c r="A67" s="3">
        <v>1</v>
      </c>
      <c r="B67" s="7">
        <v>18</v>
      </c>
      <c r="C67" s="7">
        <v>8</v>
      </c>
      <c r="D67" s="7">
        <v>12</v>
      </c>
      <c r="E67" s="5" t="s">
        <v>15</v>
      </c>
      <c r="F67" s="7">
        <v>17</v>
      </c>
      <c r="G67" s="5" t="s">
        <v>13</v>
      </c>
      <c r="H67" s="6">
        <v>174</v>
      </c>
    </row>
    <row r="68" spans="1:8" ht="17.649999999999999" thickBot="1" x14ac:dyDescent="0.5">
      <c r="A68" s="3">
        <v>2</v>
      </c>
      <c r="B68" s="7">
        <v>16</v>
      </c>
      <c r="C68" s="5" t="s">
        <v>11</v>
      </c>
      <c r="D68" s="1">
        <v>14</v>
      </c>
      <c r="E68" s="1">
        <v>11</v>
      </c>
      <c r="F68" s="7">
        <v>13</v>
      </c>
      <c r="G68" s="7">
        <v>19</v>
      </c>
      <c r="H68" s="6">
        <v>119</v>
      </c>
    </row>
    <row r="69" spans="1:8" ht="17.649999999999999" thickBot="1" x14ac:dyDescent="0.5">
      <c r="A69" s="3">
        <v>3</v>
      </c>
      <c r="B69" s="5" t="s">
        <v>12</v>
      </c>
      <c r="C69" s="7">
        <v>11</v>
      </c>
      <c r="D69" s="1">
        <v>17</v>
      </c>
      <c r="E69" s="1">
        <v>14</v>
      </c>
      <c r="F69" s="5" t="s">
        <v>14</v>
      </c>
      <c r="G69" s="7">
        <v>17</v>
      </c>
      <c r="H69" s="6">
        <v>156</v>
      </c>
    </row>
    <row r="70" spans="1:8" ht="17.649999999999999" thickBot="1" x14ac:dyDescent="0.5">
      <c r="A70" s="3">
        <v>4</v>
      </c>
      <c r="B70" s="7">
        <v>10</v>
      </c>
      <c r="C70" s="7">
        <v>16</v>
      </c>
      <c r="D70" s="1">
        <v>16</v>
      </c>
      <c r="E70" s="1">
        <v>9</v>
      </c>
      <c r="F70" s="7">
        <v>19</v>
      </c>
      <c r="G70" s="7">
        <v>8</v>
      </c>
      <c r="H70" s="1">
        <v>165</v>
      </c>
    </row>
    <row r="71" spans="1:8" ht="17.649999999999999" thickBot="1" x14ac:dyDescent="0.5">
      <c r="A71" s="3">
        <v>5</v>
      </c>
      <c r="B71" s="7">
        <v>9</v>
      </c>
      <c r="C71" s="7">
        <v>17</v>
      </c>
      <c r="D71" s="7">
        <v>15</v>
      </c>
      <c r="E71" s="5" t="s">
        <v>10</v>
      </c>
      <c r="F71" s="7">
        <v>16</v>
      </c>
      <c r="G71" s="7">
        <v>10</v>
      </c>
      <c r="H71" s="6">
        <v>106</v>
      </c>
    </row>
    <row r="72" spans="1:8" ht="17.649999999999999" thickBot="1" x14ac:dyDescent="0.5">
      <c r="A72" s="3">
        <v>6</v>
      </c>
      <c r="B72" s="5" t="s">
        <v>9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6">
        <v>148</v>
      </c>
    </row>
    <row r="73" spans="1:8" ht="26.65" thickBot="1" x14ac:dyDescent="0.5">
      <c r="A73" s="3" t="s">
        <v>3</v>
      </c>
      <c r="B73" s="6">
        <v>149</v>
      </c>
      <c r="C73" s="6">
        <v>113</v>
      </c>
      <c r="D73" s="1">
        <v>137</v>
      </c>
      <c r="E73" s="6">
        <v>199</v>
      </c>
      <c r="F73" s="6">
        <v>101</v>
      </c>
      <c r="G73" s="6">
        <v>169</v>
      </c>
      <c r="H73" s="1"/>
    </row>
    <row r="74" spans="1:8" ht="14.65" thickBot="1" x14ac:dyDescent="0.5"/>
    <row r="75" spans="1:8" ht="26.25" x14ac:dyDescent="0.45">
      <c r="A75" s="2" t="s">
        <v>0</v>
      </c>
      <c r="B75" s="9">
        <v>1</v>
      </c>
      <c r="C75" s="9">
        <v>2</v>
      </c>
      <c r="D75" s="9">
        <v>3</v>
      </c>
      <c r="E75" s="9">
        <v>4</v>
      </c>
      <c r="F75" s="9">
        <v>5</v>
      </c>
      <c r="G75" s="9">
        <v>6</v>
      </c>
      <c r="H75" s="9" t="s">
        <v>2</v>
      </c>
    </row>
    <row r="76" spans="1:8" ht="26.65" thickBot="1" x14ac:dyDescent="0.5">
      <c r="A76" s="3" t="s">
        <v>1</v>
      </c>
      <c r="B76" s="10"/>
      <c r="C76" s="10"/>
      <c r="D76" s="10"/>
      <c r="E76" s="10"/>
      <c r="F76" s="10"/>
      <c r="G76" s="10"/>
      <c r="H76" s="10"/>
    </row>
    <row r="77" spans="1:8" ht="17.649999999999999" thickBot="1" x14ac:dyDescent="0.5">
      <c r="A77" s="3">
        <v>1</v>
      </c>
      <c r="B77" s="7">
        <v>18</v>
      </c>
      <c r="C77" s="7">
        <v>8</v>
      </c>
      <c r="D77" s="7">
        <v>12</v>
      </c>
      <c r="E77" s="5" t="s">
        <v>15</v>
      </c>
      <c r="F77" s="7">
        <v>17</v>
      </c>
      <c r="G77" s="5" t="s">
        <v>13</v>
      </c>
      <c r="H77" s="6">
        <v>174</v>
      </c>
    </row>
    <row r="78" spans="1:8" ht="17.649999999999999" thickBot="1" x14ac:dyDescent="0.5">
      <c r="A78" s="3">
        <v>2</v>
      </c>
      <c r="B78" s="7">
        <v>16</v>
      </c>
      <c r="C78" s="5" t="s">
        <v>11</v>
      </c>
      <c r="D78" s="1">
        <v>14</v>
      </c>
      <c r="E78" s="7">
        <v>11</v>
      </c>
      <c r="F78" s="7">
        <v>13</v>
      </c>
      <c r="G78" s="7">
        <v>19</v>
      </c>
      <c r="H78" s="6">
        <v>119</v>
      </c>
    </row>
    <row r="79" spans="1:8" ht="17.649999999999999" thickBot="1" x14ac:dyDescent="0.5">
      <c r="A79" s="3">
        <v>3</v>
      </c>
      <c r="B79" s="5" t="s">
        <v>12</v>
      </c>
      <c r="C79" s="7">
        <v>11</v>
      </c>
      <c r="D79" s="1">
        <v>17</v>
      </c>
      <c r="E79" s="7">
        <v>14</v>
      </c>
      <c r="F79" s="5" t="s">
        <v>14</v>
      </c>
      <c r="G79" s="7">
        <v>17</v>
      </c>
      <c r="H79" s="6">
        <v>156</v>
      </c>
    </row>
    <row r="80" spans="1:8" ht="17.649999999999999" thickBot="1" x14ac:dyDescent="0.5">
      <c r="A80" s="3">
        <v>4</v>
      </c>
      <c r="B80" s="7">
        <v>10</v>
      </c>
      <c r="C80" s="7">
        <v>16</v>
      </c>
      <c r="D80" s="1">
        <v>16</v>
      </c>
      <c r="E80" s="5" t="s">
        <v>16</v>
      </c>
      <c r="F80" s="7">
        <v>19</v>
      </c>
      <c r="G80" s="7">
        <v>8</v>
      </c>
      <c r="H80" s="6">
        <v>165</v>
      </c>
    </row>
    <row r="81" spans="1:26" ht="17.649999999999999" thickBot="1" x14ac:dyDescent="0.5">
      <c r="A81" s="3">
        <v>5</v>
      </c>
      <c r="B81" s="7">
        <v>9</v>
      </c>
      <c r="C81" s="7">
        <v>17</v>
      </c>
      <c r="D81" s="7">
        <v>15</v>
      </c>
      <c r="E81" s="5" t="s">
        <v>10</v>
      </c>
      <c r="F81" s="7">
        <v>16</v>
      </c>
      <c r="G81" s="7">
        <v>10</v>
      </c>
      <c r="H81" s="6">
        <v>106</v>
      </c>
    </row>
    <row r="82" spans="1:26" ht="17.649999999999999" thickBot="1" x14ac:dyDescent="0.5">
      <c r="A82" s="3">
        <v>6</v>
      </c>
      <c r="B82" s="5" t="s">
        <v>9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6">
        <v>148</v>
      </c>
    </row>
    <row r="83" spans="1:26" ht="26.65" thickBot="1" x14ac:dyDescent="0.5">
      <c r="A83" s="3" t="s">
        <v>3</v>
      </c>
      <c r="B83" s="6">
        <v>149</v>
      </c>
      <c r="C83" s="6">
        <v>113</v>
      </c>
      <c r="D83" s="1">
        <v>137</v>
      </c>
      <c r="E83" s="6">
        <v>199</v>
      </c>
      <c r="F83" s="6">
        <v>101</v>
      </c>
      <c r="G83" s="6">
        <v>169</v>
      </c>
      <c r="H83" s="1"/>
    </row>
    <row r="84" spans="1:26" ht="14.65" thickBot="1" x14ac:dyDescent="0.5"/>
    <row r="85" spans="1:26" ht="26.25" x14ac:dyDescent="0.45">
      <c r="A85" s="2" t="s">
        <v>0</v>
      </c>
      <c r="B85" s="9">
        <v>1</v>
      </c>
      <c r="C85" s="9">
        <v>2</v>
      </c>
      <c r="D85" s="9">
        <v>3</v>
      </c>
      <c r="E85" s="9">
        <v>4</v>
      </c>
      <c r="F85" s="9">
        <v>5</v>
      </c>
      <c r="G85" s="9">
        <v>6</v>
      </c>
      <c r="H85" s="9" t="s">
        <v>2</v>
      </c>
    </row>
    <row r="86" spans="1:26" ht="26.65" thickBot="1" x14ac:dyDescent="0.5">
      <c r="A86" s="3" t="s">
        <v>1</v>
      </c>
      <c r="B86" s="10"/>
      <c r="C86" s="10"/>
      <c r="D86" s="10"/>
      <c r="E86" s="10"/>
      <c r="F86" s="10"/>
      <c r="G86" s="10"/>
      <c r="H86" s="10"/>
    </row>
    <row r="87" spans="1:26" ht="17.649999999999999" thickBot="1" x14ac:dyDescent="0.5">
      <c r="A87" s="3">
        <v>1</v>
      </c>
      <c r="B87" s="7">
        <v>18</v>
      </c>
      <c r="C87" s="7">
        <v>8</v>
      </c>
      <c r="D87" s="7">
        <v>12</v>
      </c>
      <c r="E87" s="5" t="s">
        <v>15</v>
      </c>
      <c r="F87" s="7">
        <v>17</v>
      </c>
      <c r="G87" s="5" t="s">
        <v>13</v>
      </c>
      <c r="H87" s="6">
        <v>174</v>
      </c>
    </row>
    <row r="88" spans="1:26" ht="17.649999999999999" thickBot="1" x14ac:dyDescent="0.5">
      <c r="A88" s="3">
        <v>2</v>
      </c>
      <c r="B88" s="7">
        <v>16</v>
      </c>
      <c r="C88" s="5" t="s">
        <v>11</v>
      </c>
      <c r="D88" s="5" t="s">
        <v>17</v>
      </c>
      <c r="E88" s="7">
        <v>11</v>
      </c>
      <c r="F88" s="7">
        <v>13</v>
      </c>
      <c r="G88" s="7">
        <v>19</v>
      </c>
      <c r="H88" s="6">
        <v>119</v>
      </c>
    </row>
    <row r="89" spans="1:26" ht="17.649999999999999" thickBot="1" x14ac:dyDescent="0.5">
      <c r="A89" s="3">
        <v>3</v>
      </c>
      <c r="B89" s="5" t="s">
        <v>12</v>
      </c>
      <c r="C89" s="7">
        <v>11</v>
      </c>
      <c r="D89" s="1">
        <v>17</v>
      </c>
      <c r="E89" s="7">
        <v>14</v>
      </c>
      <c r="F89" s="5" t="s">
        <v>14</v>
      </c>
      <c r="G89" s="7">
        <v>17</v>
      </c>
      <c r="H89" s="6">
        <v>156</v>
      </c>
    </row>
    <row r="90" spans="1:26" ht="17.649999999999999" thickBot="1" x14ac:dyDescent="0.5">
      <c r="A90" s="3">
        <v>4</v>
      </c>
      <c r="B90" s="7">
        <v>10</v>
      </c>
      <c r="C90" s="7">
        <v>16</v>
      </c>
      <c r="D90" s="1">
        <v>16</v>
      </c>
      <c r="E90" s="5" t="s">
        <v>16</v>
      </c>
      <c r="F90" s="7">
        <v>19</v>
      </c>
      <c r="G90" s="7">
        <v>8</v>
      </c>
      <c r="H90" s="6">
        <v>165</v>
      </c>
    </row>
    <row r="91" spans="1:26" ht="17.649999999999999" thickBot="1" x14ac:dyDescent="0.5">
      <c r="A91" s="3">
        <v>5</v>
      </c>
      <c r="B91" s="7">
        <v>9</v>
      </c>
      <c r="C91" s="7">
        <v>17</v>
      </c>
      <c r="D91" s="7">
        <v>15</v>
      </c>
      <c r="E91" s="5" t="s">
        <v>10</v>
      </c>
      <c r="F91" s="7">
        <v>16</v>
      </c>
      <c r="G91" s="7">
        <v>10</v>
      </c>
      <c r="H91" s="6">
        <v>106</v>
      </c>
    </row>
    <row r="92" spans="1:26" ht="17.649999999999999" thickBot="1" x14ac:dyDescent="0.5">
      <c r="A92" s="3">
        <v>6</v>
      </c>
      <c r="B92" s="5" t="s">
        <v>9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6">
        <v>148</v>
      </c>
    </row>
    <row r="93" spans="1:26" ht="26.65" thickBot="1" x14ac:dyDescent="0.5">
      <c r="A93" s="3" t="s">
        <v>3</v>
      </c>
      <c r="B93" s="6">
        <v>149</v>
      </c>
      <c r="C93" s="6">
        <v>113</v>
      </c>
      <c r="D93" s="6">
        <v>137</v>
      </c>
      <c r="E93" s="6">
        <v>199</v>
      </c>
      <c r="F93" s="6">
        <v>101</v>
      </c>
      <c r="G93" s="6">
        <v>169</v>
      </c>
      <c r="H93" s="1"/>
    </row>
    <row r="94" spans="1:26" ht="14.65" thickBot="1" x14ac:dyDescent="0.5">
      <c r="J94" s="13" t="s">
        <v>20</v>
      </c>
      <c r="K94" s="13"/>
      <c r="L94" s="13"/>
      <c r="M94" s="13"/>
      <c r="N94" s="13"/>
      <c r="O94" s="13"/>
      <c r="P94" s="13"/>
      <c r="Q94" s="13"/>
      <c r="S94" s="15" t="s">
        <v>22</v>
      </c>
      <c r="T94" s="15"/>
      <c r="U94" s="16"/>
      <c r="W94" s="18" t="s">
        <v>46</v>
      </c>
      <c r="X94" s="28" t="s">
        <v>49</v>
      </c>
      <c r="Y94" s="29"/>
      <c r="Z94" s="30"/>
    </row>
    <row r="95" spans="1:26" ht="26.25" x14ac:dyDescent="0.45">
      <c r="A95" s="2" t="s">
        <v>0</v>
      </c>
      <c r="B95" s="9">
        <v>1</v>
      </c>
      <c r="C95" s="9">
        <v>2</v>
      </c>
      <c r="D95" s="9">
        <v>3</v>
      </c>
      <c r="E95" s="9">
        <v>4</v>
      </c>
      <c r="F95" s="9">
        <v>5</v>
      </c>
      <c r="G95" s="9">
        <v>6</v>
      </c>
      <c r="H95" s="9" t="s">
        <v>2</v>
      </c>
      <c r="J95" s="8" t="s">
        <v>0</v>
      </c>
      <c r="K95" s="12">
        <v>1</v>
      </c>
      <c r="L95" s="12">
        <v>2</v>
      </c>
      <c r="M95" s="12">
        <v>3</v>
      </c>
      <c r="N95" s="12">
        <v>4</v>
      </c>
      <c r="O95" s="12">
        <v>5</v>
      </c>
      <c r="P95" s="12">
        <v>6</v>
      </c>
      <c r="Q95" s="12" t="s">
        <v>2</v>
      </c>
      <c r="S95" s="17" t="s">
        <v>23</v>
      </c>
      <c r="T95" s="17" t="s">
        <v>24</v>
      </c>
      <c r="U95" s="17" t="s">
        <v>25</v>
      </c>
      <c r="W95" s="18" t="s">
        <v>47</v>
      </c>
      <c r="X95" s="28" t="s">
        <v>48</v>
      </c>
      <c r="Y95" s="29"/>
      <c r="Z95" s="30"/>
    </row>
    <row r="96" spans="1:26" ht="26.65" thickBot="1" x14ac:dyDescent="0.5">
      <c r="A96" s="3" t="s">
        <v>1</v>
      </c>
      <c r="B96" s="10"/>
      <c r="C96" s="10"/>
      <c r="D96" s="10"/>
      <c r="E96" s="10"/>
      <c r="F96" s="10"/>
      <c r="G96" s="10"/>
      <c r="H96" s="10"/>
      <c r="J96" s="3" t="s">
        <v>1</v>
      </c>
      <c r="K96" s="10"/>
      <c r="L96" s="10"/>
      <c r="M96" s="10"/>
      <c r="N96" s="10"/>
      <c r="O96" s="10"/>
      <c r="P96" s="10"/>
      <c r="Q96" s="10"/>
      <c r="S96" s="17" t="s">
        <v>23</v>
      </c>
      <c r="T96" s="17" t="s">
        <v>27</v>
      </c>
      <c r="U96" s="17" t="s">
        <v>26</v>
      </c>
    </row>
    <row r="97" spans="1:21" ht="17.649999999999999" thickBot="1" x14ac:dyDescent="0.5">
      <c r="A97" s="3">
        <v>1</v>
      </c>
      <c r="B97" s="7">
        <v>18</v>
      </c>
      <c r="C97" s="7">
        <v>8</v>
      </c>
      <c r="D97" s="7">
        <v>12</v>
      </c>
      <c r="E97" s="5" t="s">
        <v>15</v>
      </c>
      <c r="F97" s="7">
        <v>17</v>
      </c>
      <c r="G97" s="5" t="s">
        <v>13</v>
      </c>
      <c r="H97" s="6">
        <v>174</v>
      </c>
      <c r="J97" s="3">
        <v>1</v>
      </c>
      <c r="K97" s="1">
        <v>0</v>
      </c>
      <c r="L97" s="1">
        <v>0</v>
      </c>
      <c r="M97" s="1">
        <v>0</v>
      </c>
      <c r="N97" s="5">
        <v>5</v>
      </c>
      <c r="O97" s="1">
        <v>0</v>
      </c>
      <c r="P97" s="5">
        <v>169</v>
      </c>
      <c r="Q97" s="1">
        <v>174</v>
      </c>
      <c r="S97" s="17" t="s">
        <v>29</v>
      </c>
      <c r="T97" s="17" t="s">
        <v>24</v>
      </c>
      <c r="U97" s="17" t="s">
        <v>28</v>
      </c>
    </row>
    <row r="98" spans="1:21" ht="17.649999999999999" thickBot="1" x14ac:dyDescent="0.5">
      <c r="A98" s="3">
        <v>2</v>
      </c>
      <c r="B98" s="7">
        <v>16</v>
      </c>
      <c r="C98" s="5" t="s">
        <v>11</v>
      </c>
      <c r="D98" s="5" t="s">
        <v>17</v>
      </c>
      <c r="E98" s="7">
        <v>11</v>
      </c>
      <c r="F98" s="7">
        <v>13</v>
      </c>
      <c r="G98" s="7">
        <v>19</v>
      </c>
      <c r="H98" s="6">
        <v>119</v>
      </c>
      <c r="J98" s="3">
        <v>2</v>
      </c>
      <c r="K98" s="1">
        <v>0</v>
      </c>
      <c r="L98" s="5">
        <v>113</v>
      </c>
      <c r="M98" s="5">
        <v>6</v>
      </c>
      <c r="N98" s="1">
        <v>0</v>
      </c>
      <c r="O98" s="1">
        <v>0</v>
      </c>
      <c r="P98" s="1">
        <v>0</v>
      </c>
      <c r="Q98" s="1">
        <v>119</v>
      </c>
      <c r="S98" s="17" t="s">
        <v>31</v>
      </c>
      <c r="T98" s="17" t="s">
        <v>24</v>
      </c>
      <c r="U98" s="17" t="s">
        <v>30</v>
      </c>
    </row>
    <row r="99" spans="1:21" ht="17.649999999999999" thickBot="1" x14ac:dyDescent="0.5">
      <c r="A99" s="3">
        <v>3</v>
      </c>
      <c r="B99" s="5" t="s">
        <v>12</v>
      </c>
      <c r="C99" s="7">
        <v>11</v>
      </c>
      <c r="D99" s="5" t="s">
        <v>19</v>
      </c>
      <c r="E99" s="7">
        <v>14</v>
      </c>
      <c r="F99" s="5" t="s">
        <v>14</v>
      </c>
      <c r="G99" s="7">
        <v>17</v>
      </c>
      <c r="H99" s="6">
        <v>156</v>
      </c>
      <c r="J99" s="3">
        <v>3</v>
      </c>
      <c r="K99" s="5">
        <v>1</v>
      </c>
      <c r="L99" s="1">
        <v>0</v>
      </c>
      <c r="M99" s="5">
        <v>54</v>
      </c>
      <c r="N99" s="1">
        <v>0</v>
      </c>
      <c r="O99" s="5">
        <v>101</v>
      </c>
      <c r="P99" s="1">
        <v>0</v>
      </c>
      <c r="Q99" s="1">
        <v>156</v>
      </c>
      <c r="S99" s="17" t="s">
        <v>29</v>
      </c>
      <c r="T99" s="17" t="s">
        <v>33</v>
      </c>
      <c r="U99" s="17" t="s">
        <v>32</v>
      </c>
    </row>
    <row r="100" spans="1:21" ht="17.649999999999999" thickBot="1" x14ac:dyDescent="0.5">
      <c r="A100" s="3">
        <v>4</v>
      </c>
      <c r="B100" s="7">
        <v>10</v>
      </c>
      <c r="C100" s="7">
        <v>16</v>
      </c>
      <c r="D100" s="5" t="s">
        <v>18</v>
      </c>
      <c r="E100" s="5" t="s">
        <v>16</v>
      </c>
      <c r="F100" s="7">
        <v>19</v>
      </c>
      <c r="G100" s="7">
        <v>8</v>
      </c>
      <c r="H100" s="6">
        <v>165</v>
      </c>
      <c r="J100" s="3">
        <v>4</v>
      </c>
      <c r="K100" s="1">
        <v>0</v>
      </c>
      <c r="L100" s="1">
        <v>0</v>
      </c>
      <c r="M100" s="5">
        <v>77</v>
      </c>
      <c r="N100" s="5">
        <v>88</v>
      </c>
      <c r="O100" s="1">
        <v>0</v>
      </c>
      <c r="P100" s="1">
        <v>0</v>
      </c>
      <c r="Q100" s="1">
        <v>165</v>
      </c>
      <c r="S100" s="17" t="s">
        <v>34</v>
      </c>
      <c r="T100" s="17" t="s">
        <v>33</v>
      </c>
      <c r="U100" s="17" t="s">
        <v>37</v>
      </c>
    </row>
    <row r="101" spans="1:21" ht="17.649999999999999" thickBot="1" x14ac:dyDescent="0.5">
      <c r="A101" s="3">
        <v>5</v>
      </c>
      <c r="B101" s="7">
        <v>9</v>
      </c>
      <c r="C101" s="7">
        <v>17</v>
      </c>
      <c r="D101" s="7">
        <v>15</v>
      </c>
      <c r="E101" s="5" t="s">
        <v>10</v>
      </c>
      <c r="F101" s="7">
        <v>16</v>
      </c>
      <c r="G101" s="7">
        <v>10</v>
      </c>
      <c r="H101" s="6">
        <v>106</v>
      </c>
      <c r="J101" s="3">
        <v>5</v>
      </c>
      <c r="K101" s="1">
        <v>0</v>
      </c>
      <c r="L101" s="1">
        <v>0</v>
      </c>
      <c r="M101" s="1">
        <v>0</v>
      </c>
      <c r="N101" s="5">
        <v>106</v>
      </c>
      <c r="O101" s="1">
        <v>0</v>
      </c>
      <c r="P101" s="1">
        <v>0</v>
      </c>
      <c r="Q101" s="1">
        <v>106</v>
      </c>
      <c r="S101" s="17" t="s">
        <v>34</v>
      </c>
      <c r="T101" s="17" t="s">
        <v>35</v>
      </c>
      <c r="U101" s="17" t="s">
        <v>38</v>
      </c>
    </row>
    <row r="102" spans="1:21" ht="17.649999999999999" thickBot="1" x14ac:dyDescent="0.5">
      <c r="A102" s="3">
        <v>6</v>
      </c>
      <c r="B102" s="5" t="s">
        <v>9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6">
        <v>148</v>
      </c>
      <c r="J102" s="3">
        <v>6</v>
      </c>
      <c r="K102" s="5">
        <v>148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148</v>
      </c>
      <c r="S102" s="17" t="s">
        <v>34</v>
      </c>
      <c r="T102" s="17" t="s">
        <v>36</v>
      </c>
      <c r="U102" s="17" t="s">
        <v>39</v>
      </c>
    </row>
    <row r="103" spans="1:21" ht="26.65" thickBot="1" x14ac:dyDescent="0.5">
      <c r="A103" s="3" t="s">
        <v>3</v>
      </c>
      <c r="B103" s="6">
        <v>149</v>
      </c>
      <c r="C103" s="6">
        <v>113</v>
      </c>
      <c r="D103" s="6">
        <v>137</v>
      </c>
      <c r="E103" s="6">
        <v>199</v>
      </c>
      <c r="F103" s="6">
        <v>101</v>
      </c>
      <c r="G103" s="6">
        <v>169</v>
      </c>
      <c r="H103" s="1"/>
      <c r="J103" s="3" t="s">
        <v>3</v>
      </c>
      <c r="K103" s="1">
        <v>149</v>
      </c>
      <c r="L103" s="1">
        <v>113</v>
      </c>
      <c r="M103" s="1">
        <v>137</v>
      </c>
      <c r="N103" s="1">
        <v>199</v>
      </c>
      <c r="O103" s="1">
        <v>101</v>
      </c>
      <c r="P103" s="1">
        <v>169</v>
      </c>
      <c r="Q103" s="1"/>
      <c r="S103" s="17" t="s">
        <v>41</v>
      </c>
      <c r="T103" s="17" t="s">
        <v>33</v>
      </c>
      <c r="U103" s="17" t="s">
        <v>40</v>
      </c>
    </row>
    <row r="104" spans="1:21" x14ac:dyDescent="0.45">
      <c r="S104" s="17" t="s">
        <v>43</v>
      </c>
      <c r="T104" s="17" t="s">
        <v>35</v>
      </c>
      <c r="U104" s="17" t="s">
        <v>42</v>
      </c>
    </row>
    <row r="105" spans="1:21" x14ac:dyDescent="0.45">
      <c r="S105" s="17" t="s">
        <v>41</v>
      </c>
      <c r="T105" s="17" t="s">
        <v>45</v>
      </c>
      <c r="U105" s="17" t="s">
        <v>44</v>
      </c>
    </row>
    <row r="106" spans="1:21" x14ac:dyDescent="0.45">
      <c r="J106" s="19" t="s">
        <v>50</v>
      </c>
      <c r="K106" s="19"/>
      <c r="L106" s="19"/>
    </row>
    <row r="107" spans="1:21" x14ac:dyDescent="0.45">
      <c r="J107" s="17" t="s">
        <v>51</v>
      </c>
      <c r="K107" s="17" t="s">
        <v>52</v>
      </c>
      <c r="L107" s="17">
        <v>-12</v>
      </c>
    </row>
    <row r="108" spans="1:21" x14ac:dyDescent="0.45">
      <c r="J108" s="17" t="s">
        <v>53</v>
      </c>
      <c r="K108" s="17" t="s">
        <v>54</v>
      </c>
      <c r="L108" s="17">
        <v>0</v>
      </c>
    </row>
    <row r="109" spans="1:21" x14ac:dyDescent="0.45">
      <c r="J109" s="17" t="s">
        <v>55</v>
      </c>
      <c r="K109" s="17" t="s">
        <v>56</v>
      </c>
      <c r="L109" s="17">
        <v>4</v>
      </c>
    </row>
    <row r="110" spans="1:21" x14ac:dyDescent="0.45">
      <c r="J110" s="17" t="s">
        <v>57</v>
      </c>
      <c r="K110" s="17"/>
      <c r="L110" s="17">
        <v>-10</v>
      </c>
    </row>
    <row r="111" spans="1:21" x14ac:dyDescent="0.45">
      <c r="J111" s="17" t="s">
        <v>58</v>
      </c>
      <c r="K111" s="17"/>
      <c r="L111" s="17">
        <v>-12</v>
      </c>
    </row>
    <row r="112" spans="1:21" x14ac:dyDescent="0.45">
      <c r="J112" s="17" t="s">
        <v>59</v>
      </c>
      <c r="K112" s="17"/>
      <c r="L112" s="17">
        <v>-4</v>
      </c>
    </row>
    <row r="113" spans="10:12" x14ac:dyDescent="0.45">
      <c r="J113" s="17" t="s">
        <v>60</v>
      </c>
      <c r="K113" s="17"/>
      <c r="L113" s="17">
        <v>-8</v>
      </c>
    </row>
    <row r="114" spans="10:12" x14ac:dyDescent="0.45">
      <c r="J114" s="17" t="s">
        <v>61</v>
      </c>
      <c r="K114" s="17"/>
      <c r="L114" s="17">
        <v>-14</v>
      </c>
    </row>
    <row r="115" spans="10:12" x14ac:dyDescent="0.45">
      <c r="J115" s="17" t="s">
        <v>62</v>
      </c>
      <c r="K115" s="17"/>
      <c r="L115" s="17">
        <v>-2</v>
      </c>
    </row>
    <row r="116" spans="10:12" x14ac:dyDescent="0.45">
      <c r="J116" s="17" t="s">
        <v>63</v>
      </c>
      <c r="K116" s="17"/>
      <c r="L116" s="17">
        <v>-4</v>
      </c>
    </row>
    <row r="117" spans="10:12" x14ac:dyDescent="0.45">
      <c r="J117" s="17" t="s">
        <v>64</v>
      </c>
      <c r="K117" s="17"/>
      <c r="L117" s="17">
        <v>-9</v>
      </c>
    </row>
    <row r="118" spans="10:12" x14ac:dyDescent="0.45">
      <c r="J118" s="17" t="s">
        <v>65</v>
      </c>
      <c r="K118" s="17"/>
      <c r="L118" s="17">
        <v>-4</v>
      </c>
    </row>
    <row r="119" spans="10:12" x14ac:dyDescent="0.45">
      <c r="J119" s="17" t="s">
        <v>66</v>
      </c>
      <c r="K119" s="17"/>
      <c r="L119" s="17">
        <v>-8</v>
      </c>
    </row>
    <row r="120" spans="10:12" x14ac:dyDescent="0.45">
      <c r="J120" s="17" t="s">
        <v>67</v>
      </c>
      <c r="K120" s="17"/>
      <c r="L120" s="17">
        <v>-12</v>
      </c>
    </row>
    <row r="121" spans="10:12" x14ac:dyDescent="0.45">
      <c r="J121" s="17" t="s">
        <v>68</v>
      </c>
      <c r="K121" s="17"/>
      <c r="L121" s="17">
        <v>-1</v>
      </c>
    </row>
    <row r="122" spans="10:12" x14ac:dyDescent="0.45">
      <c r="J122" s="17" t="s">
        <v>69</v>
      </c>
      <c r="K122" s="17"/>
      <c r="L122" s="17">
        <v>-6</v>
      </c>
    </row>
    <row r="123" spans="10:12" x14ac:dyDescent="0.45">
      <c r="J123" s="17" t="s">
        <v>70</v>
      </c>
      <c r="K123" s="17"/>
      <c r="L123" s="17">
        <v>-12</v>
      </c>
    </row>
    <row r="124" spans="10:12" x14ac:dyDescent="0.45">
      <c r="J124" s="17" t="s">
        <v>71</v>
      </c>
      <c r="K124" s="17"/>
      <c r="L124" s="17">
        <v>-2</v>
      </c>
    </row>
    <row r="125" spans="10:12" x14ac:dyDescent="0.45">
      <c r="J125" s="17" t="s">
        <v>72</v>
      </c>
      <c r="K125" s="17"/>
      <c r="L125" s="17">
        <v>-12</v>
      </c>
    </row>
    <row r="126" spans="10:12" x14ac:dyDescent="0.45">
      <c r="J126" s="17" t="s">
        <v>73</v>
      </c>
      <c r="K126" s="17"/>
      <c r="L126" s="17">
        <v>-6</v>
      </c>
    </row>
    <row r="127" spans="10:12" x14ac:dyDescent="0.45">
      <c r="J127" s="17" t="s">
        <v>75</v>
      </c>
      <c r="K127" s="17"/>
      <c r="L127" s="17">
        <v>2</v>
      </c>
    </row>
    <row r="128" spans="10:12" x14ac:dyDescent="0.45">
      <c r="J128" s="17" t="s">
        <v>76</v>
      </c>
      <c r="K128" s="17"/>
      <c r="L128" s="20">
        <v>10</v>
      </c>
    </row>
    <row r="129" spans="1:31" x14ac:dyDescent="0.45">
      <c r="J129" s="17" t="s">
        <v>77</v>
      </c>
      <c r="K129" s="17"/>
      <c r="L129" s="17">
        <v>3</v>
      </c>
    </row>
    <row r="130" spans="1:31" x14ac:dyDescent="0.45">
      <c r="J130" s="17" t="s">
        <v>78</v>
      </c>
      <c r="K130" s="17"/>
      <c r="L130" s="17">
        <v>1</v>
      </c>
    </row>
    <row r="131" spans="1:31" x14ac:dyDescent="0.45">
      <c r="J131" s="17" t="s">
        <v>79</v>
      </c>
      <c r="K131" s="17"/>
      <c r="L131" s="17">
        <v>1</v>
      </c>
    </row>
    <row r="135" spans="1:31" x14ac:dyDescent="0.45">
      <c r="B135" s="11" t="s">
        <v>80</v>
      </c>
      <c r="C135" s="11"/>
      <c r="D135" s="11"/>
      <c r="F135" s="24" t="s">
        <v>81</v>
      </c>
    </row>
    <row r="136" spans="1:31" x14ac:dyDescent="0.45">
      <c r="F136" s="25" t="s">
        <v>82</v>
      </c>
    </row>
    <row r="138" spans="1:31" ht="26.25" x14ac:dyDescent="0.45">
      <c r="A138" s="38"/>
      <c r="B138" s="21" t="s">
        <v>0</v>
      </c>
      <c r="C138" s="22">
        <v>1</v>
      </c>
      <c r="D138" s="22">
        <v>2</v>
      </c>
      <c r="E138" s="22">
        <v>3</v>
      </c>
      <c r="F138" s="22">
        <v>4</v>
      </c>
      <c r="G138" s="22">
        <v>5</v>
      </c>
      <c r="H138" s="22">
        <v>6</v>
      </c>
      <c r="I138" s="22" t="s">
        <v>2</v>
      </c>
      <c r="K138" s="21" t="s">
        <v>0</v>
      </c>
      <c r="L138" s="22">
        <v>1</v>
      </c>
      <c r="M138" s="22">
        <v>2</v>
      </c>
      <c r="N138" s="22">
        <v>3</v>
      </c>
      <c r="O138" s="22">
        <v>4</v>
      </c>
      <c r="P138" s="22">
        <v>5</v>
      </c>
      <c r="Q138" s="22">
        <v>6</v>
      </c>
      <c r="R138" s="22" t="s">
        <v>2</v>
      </c>
      <c r="T138" s="15" t="s">
        <v>22</v>
      </c>
      <c r="U138" s="15"/>
      <c r="V138" s="16"/>
      <c r="X138" s="18" t="s">
        <v>46</v>
      </c>
      <c r="Y138" s="28" t="s">
        <v>88</v>
      </c>
      <c r="Z138" s="29"/>
      <c r="AA138" s="30"/>
      <c r="AC138" s="19" t="s">
        <v>50</v>
      </c>
      <c r="AD138" s="19"/>
      <c r="AE138" s="19"/>
    </row>
    <row r="139" spans="1:31" ht="26.25" x14ac:dyDescent="0.45">
      <c r="B139" s="21" t="s">
        <v>1</v>
      </c>
      <c r="C139" s="22"/>
      <c r="D139" s="22"/>
      <c r="E139" s="22"/>
      <c r="F139" s="22"/>
      <c r="G139" s="22"/>
      <c r="H139" s="22"/>
      <c r="I139" s="22"/>
      <c r="K139" s="21" t="s">
        <v>1</v>
      </c>
      <c r="L139" s="22"/>
      <c r="M139" s="22"/>
      <c r="N139" s="22"/>
      <c r="O139" s="22"/>
      <c r="P139" s="22"/>
      <c r="Q139" s="22"/>
      <c r="R139" s="22"/>
      <c r="T139" s="17" t="s">
        <v>23</v>
      </c>
      <c r="U139" s="17" t="s">
        <v>24</v>
      </c>
      <c r="V139" s="17" t="s">
        <v>25</v>
      </c>
      <c r="X139" s="18" t="s">
        <v>47</v>
      </c>
      <c r="Y139" s="28" t="s">
        <v>89</v>
      </c>
      <c r="Z139" s="29"/>
      <c r="AA139" s="30"/>
      <c r="AC139" s="17" t="s">
        <v>51</v>
      </c>
      <c r="AD139" s="17" t="s">
        <v>52</v>
      </c>
      <c r="AE139" s="17">
        <v>-2</v>
      </c>
    </row>
    <row r="140" spans="1:31" ht="17.649999999999999" thickBot="1" x14ac:dyDescent="0.5">
      <c r="B140" s="3">
        <v>1</v>
      </c>
      <c r="C140" s="23">
        <v>0</v>
      </c>
      <c r="D140" s="23">
        <v>0</v>
      </c>
      <c r="E140" s="23">
        <v>0</v>
      </c>
      <c r="F140" s="23">
        <v>5</v>
      </c>
      <c r="G140" s="23">
        <v>0</v>
      </c>
      <c r="H140" s="23">
        <v>169</v>
      </c>
      <c r="I140" s="1">
        <v>174</v>
      </c>
      <c r="K140" s="3">
        <v>1</v>
      </c>
      <c r="L140" s="23">
        <v>0</v>
      </c>
      <c r="M140" s="23">
        <v>0</v>
      </c>
      <c r="N140" s="23">
        <v>0</v>
      </c>
      <c r="O140" s="23">
        <v>5</v>
      </c>
      <c r="P140" s="23">
        <v>0</v>
      </c>
      <c r="Q140" s="23">
        <v>169</v>
      </c>
      <c r="R140" s="1">
        <v>174</v>
      </c>
      <c r="T140" s="17" t="s">
        <v>23</v>
      </c>
      <c r="U140" s="17" t="s">
        <v>27</v>
      </c>
      <c r="V140" s="17" t="s">
        <v>26</v>
      </c>
      <c r="AC140" s="17" t="s">
        <v>53</v>
      </c>
      <c r="AD140" s="17" t="s">
        <v>54</v>
      </c>
      <c r="AE140" s="17">
        <v>0</v>
      </c>
    </row>
    <row r="141" spans="1:31" ht="17.649999999999999" thickBot="1" x14ac:dyDescent="0.5">
      <c r="B141" s="3">
        <v>2</v>
      </c>
      <c r="C141" s="23">
        <v>0</v>
      </c>
      <c r="D141" s="23">
        <v>113</v>
      </c>
      <c r="E141" s="23">
        <v>6</v>
      </c>
      <c r="F141" s="23">
        <v>0</v>
      </c>
      <c r="G141" s="23">
        <v>0</v>
      </c>
      <c r="H141" s="23">
        <v>0</v>
      </c>
      <c r="I141" s="1">
        <v>119</v>
      </c>
      <c r="K141" s="3">
        <v>2</v>
      </c>
      <c r="L141" s="23">
        <v>0</v>
      </c>
      <c r="M141" s="23">
        <v>113</v>
      </c>
      <c r="N141" s="23">
        <v>6</v>
      </c>
      <c r="O141" s="23">
        <v>0</v>
      </c>
      <c r="P141" s="23">
        <v>0</v>
      </c>
      <c r="Q141" s="23">
        <v>0</v>
      </c>
      <c r="R141" s="1">
        <v>119</v>
      </c>
      <c r="T141" s="17" t="s">
        <v>29</v>
      </c>
      <c r="U141" s="17" t="s">
        <v>24</v>
      </c>
      <c r="V141" s="17" t="s">
        <v>28</v>
      </c>
      <c r="AC141" s="17" t="s">
        <v>55</v>
      </c>
      <c r="AD141" s="17" t="s">
        <v>56</v>
      </c>
      <c r="AE141" s="17">
        <v>4</v>
      </c>
    </row>
    <row r="142" spans="1:31" ht="17.649999999999999" thickBot="1" x14ac:dyDescent="0.5">
      <c r="B142" s="3">
        <v>3</v>
      </c>
      <c r="C142" s="27">
        <v>1</v>
      </c>
      <c r="D142" s="23">
        <v>0</v>
      </c>
      <c r="E142" s="26">
        <v>54</v>
      </c>
      <c r="F142" s="23">
        <v>0</v>
      </c>
      <c r="G142" s="23">
        <v>101</v>
      </c>
      <c r="H142" s="23">
        <v>0</v>
      </c>
      <c r="I142" s="1">
        <v>156</v>
      </c>
      <c r="K142" s="3">
        <v>3</v>
      </c>
      <c r="L142" s="27">
        <v>55</v>
      </c>
      <c r="M142" s="23">
        <v>0</v>
      </c>
      <c r="N142" s="26">
        <v>0</v>
      </c>
      <c r="O142" s="23">
        <v>0</v>
      </c>
      <c r="P142" s="23">
        <v>101</v>
      </c>
      <c r="Q142" s="23">
        <v>0</v>
      </c>
      <c r="R142" s="1">
        <v>156</v>
      </c>
      <c r="T142" s="17" t="s">
        <v>31</v>
      </c>
      <c r="U142" s="17" t="s">
        <v>24</v>
      </c>
      <c r="V142" s="17" t="s">
        <v>30</v>
      </c>
      <c r="AC142" s="17" t="s">
        <v>57</v>
      </c>
      <c r="AD142" s="17"/>
      <c r="AE142" s="17">
        <v>0</v>
      </c>
    </row>
    <row r="143" spans="1:31" ht="17.649999999999999" thickBot="1" x14ac:dyDescent="0.5">
      <c r="B143" s="3">
        <v>4</v>
      </c>
      <c r="C143" s="23">
        <v>0</v>
      </c>
      <c r="D143" s="23">
        <v>0</v>
      </c>
      <c r="E143" s="23">
        <v>77</v>
      </c>
      <c r="F143" s="23">
        <v>88</v>
      </c>
      <c r="G143" s="23">
        <v>0</v>
      </c>
      <c r="H143" s="23">
        <v>0</v>
      </c>
      <c r="I143" s="1">
        <v>165</v>
      </c>
      <c r="K143" s="3">
        <v>4</v>
      </c>
      <c r="L143" s="23">
        <v>0</v>
      </c>
      <c r="M143" s="23">
        <v>0</v>
      </c>
      <c r="N143" s="23">
        <v>77</v>
      </c>
      <c r="O143" s="23">
        <v>88</v>
      </c>
      <c r="P143" s="23">
        <v>0</v>
      </c>
      <c r="Q143" s="23">
        <v>0</v>
      </c>
      <c r="R143" s="1">
        <v>165</v>
      </c>
      <c r="T143" s="17" t="s">
        <v>29</v>
      </c>
      <c r="U143" s="17" t="s">
        <v>33</v>
      </c>
      <c r="V143" s="17" t="s">
        <v>32</v>
      </c>
      <c r="AC143" s="17" t="s">
        <v>58</v>
      </c>
      <c r="AD143" s="17"/>
      <c r="AE143" s="17">
        <v>-2</v>
      </c>
    </row>
    <row r="144" spans="1:31" ht="17.649999999999999" thickBot="1" x14ac:dyDescent="0.5">
      <c r="B144" s="3">
        <v>5</v>
      </c>
      <c r="C144" s="23">
        <v>0</v>
      </c>
      <c r="D144" s="23">
        <v>0</v>
      </c>
      <c r="E144" s="23">
        <v>0</v>
      </c>
      <c r="F144" s="23">
        <v>106</v>
      </c>
      <c r="G144" s="23">
        <v>0</v>
      </c>
      <c r="H144" s="23">
        <v>0</v>
      </c>
      <c r="I144" s="1">
        <v>106</v>
      </c>
      <c r="K144" s="3">
        <v>5</v>
      </c>
      <c r="L144" s="23">
        <v>0</v>
      </c>
      <c r="M144" s="23">
        <v>0</v>
      </c>
      <c r="N144" s="23">
        <v>0</v>
      </c>
      <c r="O144" s="23">
        <v>106</v>
      </c>
      <c r="P144" s="23">
        <v>0</v>
      </c>
      <c r="Q144" s="23">
        <v>0</v>
      </c>
      <c r="R144" s="1">
        <v>106</v>
      </c>
      <c r="T144" s="17" t="s">
        <v>83</v>
      </c>
      <c r="U144" s="17" t="s">
        <v>33</v>
      </c>
      <c r="V144" s="17" t="s">
        <v>84</v>
      </c>
      <c r="AC144" s="17" t="s">
        <v>59</v>
      </c>
      <c r="AD144" s="17"/>
      <c r="AE144" s="17">
        <v>-4</v>
      </c>
    </row>
    <row r="145" spans="2:31" ht="17.649999999999999" thickBot="1" x14ac:dyDescent="0.5">
      <c r="B145" s="3">
        <v>6</v>
      </c>
      <c r="C145" s="26">
        <v>148</v>
      </c>
      <c r="D145" s="23">
        <v>0</v>
      </c>
      <c r="E145" s="27">
        <v>0</v>
      </c>
      <c r="F145" s="23">
        <v>0</v>
      </c>
      <c r="G145" s="23">
        <v>0</v>
      </c>
      <c r="H145" s="23">
        <v>0</v>
      </c>
      <c r="I145" s="1">
        <v>148</v>
      </c>
      <c r="K145" s="3">
        <v>6</v>
      </c>
      <c r="L145" s="26">
        <f>148-54</f>
        <v>94</v>
      </c>
      <c r="M145" s="23">
        <v>0</v>
      </c>
      <c r="N145" s="27">
        <v>54</v>
      </c>
      <c r="O145" s="23">
        <v>0</v>
      </c>
      <c r="P145" s="23">
        <v>0</v>
      </c>
      <c r="Q145" s="23">
        <v>0</v>
      </c>
      <c r="R145" s="1">
        <v>148</v>
      </c>
      <c r="T145" s="17" t="s">
        <v>86</v>
      </c>
      <c r="U145" s="17" t="s">
        <v>85</v>
      </c>
      <c r="V145" s="17" t="s">
        <v>38</v>
      </c>
      <c r="AC145" s="17" t="s">
        <v>60</v>
      </c>
      <c r="AD145" s="17"/>
      <c r="AE145" s="17">
        <v>2</v>
      </c>
    </row>
    <row r="146" spans="2:31" ht="26.65" thickBot="1" x14ac:dyDescent="0.5">
      <c r="B146" s="3" t="s">
        <v>3</v>
      </c>
      <c r="C146" s="1">
        <v>149</v>
      </c>
      <c r="D146" s="1">
        <v>113</v>
      </c>
      <c r="E146" s="1">
        <v>137</v>
      </c>
      <c r="F146" s="1">
        <v>199</v>
      </c>
      <c r="G146" s="1">
        <v>101</v>
      </c>
      <c r="H146" s="1">
        <v>169</v>
      </c>
      <c r="I146" s="1"/>
      <c r="K146" s="3" t="s">
        <v>3</v>
      </c>
      <c r="L146" s="1">
        <v>149</v>
      </c>
      <c r="M146" s="1">
        <v>113</v>
      </c>
      <c r="N146" s="1">
        <v>137</v>
      </c>
      <c r="O146" s="1">
        <v>199</v>
      </c>
      <c r="P146" s="1">
        <v>101</v>
      </c>
      <c r="Q146" s="1">
        <v>169</v>
      </c>
      <c r="R146" s="1"/>
      <c r="T146" s="17" t="s">
        <v>86</v>
      </c>
      <c r="U146" s="17" t="s">
        <v>87</v>
      </c>
      <c r="V146" s="17" t="s">
        <v>39</v>
      </c>
      <c r="AC146" s="17" t="s">
        <v>61</v>
      </c>
      <c r="AD146" s="17"/>
      <c r="AE146" s="17">
        <v>-14</v>
      </c>
    </row>
    <row r="147" spans="2:31" x14ac:dyDescent="0.45">
      <c r="T147" s="17" t="s">
        <v>41</v>
      </c>
      <c r="U147" s="17" t="s">
        <v>33</v>
      </c>
      <c r="V147" s="17" t="s">
        <v>40</v>
      </c>
      <c r="AC147" s="17" t="s">
        <v>62</v>
      </c>
      <c r="AD147" s="17"/>
      <c r="AE147" s="17">
        <v>-12</v>
      </c>
    </row>
    <row r="148" spans="2:31" x14ac:dyDescent="0.45">
      <c r="T148" s="17" t="s">
        <v>83</v>
      </c>
      <c r="U148" s="17" t="s">
        <v>85</v>
      </c>
      <c r="V148" s="17" t="s">
        <v>42</v>
      </c>
      <c r="AC148" s="31" t="s">
        <v>90</v>
      </c>
      <c r="AE148" s="31">
        <v>-10</v>
      </c>
    </row>
    <row r="149" spans="2:31" x14ac:dyDescent="0.45">
      <c r="T149" s="17" t="s">
        <v>41</v>
      </c>
      <c r="U149" s="17" t="s">
        <v>45</v>
      </c>
      <c r="V149" s="17" t="s">
        <v>44</v>
      </c>
      <c r="AC149" s="17" t="s">
        <v>63</v>
      </c>
      <c r="AD149" s="17"/>
      <c r="AE149" s="17">
        <v>-14</v>
      </c>
    </row>
    <row r="150" spans="2:31" x14ac:dyDescent="0.45">
      <c r="AC150" s="17" t="s">
        <v>64</v>
      </c>
      <c r="AD150" s="17"/>
      <c r="AE150" s="17">
        <v>-19</v>
      </c>
    </row>
    <row r="151" spans="2:31" x14ac:dyDescent="0.45">
      <c r="AC151" s="17" t="s">
        <v>65</v>
      </c>
      <c r="AD151" s="17"/>
      <c r="AE151" s="32">
        <v>6</v>
      </c>
    </row>
    <row r="152" spans="2:31" x14ac:dyDescent="0.45">
      <c r="AC152" s="17" t="s">
        <v>66</v>
      </c>
      <c r="AD152" s="17"/>
      <c r="AE152" s="17">
        <v>-8</v>
      </c>
    </row>
    <row r="153" spans="2:31" x14ac:dyDescent="0.45">
      <c r="AC153" s="17" t="s">
        <v>67</v>
      </c>
      <c r="AD153" s="17"/>
      <c r="AE153" s="17">
        <v>-2</v>
      </c>
    </row>
    <row r="154" spans="2:31" x14ac:dyDescent="0.45">
      <c r="AC154" s="17" t="s">
        <v>68</v>
      </c>
      <c r="AD154" s="17"/>
      <c r="AE154" s="17">
        <v>-1</v>
      </c>
    </row>
    <row r="155" spans="2:31" x14ac:dyDescent="0.45">
      <c r="AC155" s="17" t="s">
        <v>69</v>
      </c>
      <c r="AD155" s="17"/>
      <c r="AE155" s="33">
        <v>4</v>
      </c>
    </row>
    <row r="156" spans="2:31" x14ac:dyDescent="0.45">
      <c r="AC156" s="17" t="s">
        <v>70</v>
      </c>
      <c r="AD156" s="17"/>
      <c r="AE156" s="17">
        <v>-12</v>
      </c>
    </row>
    <row r="157" spans="2:31" x14ac:dyDescent="0.45">
      <c r="AC157" s="17" t="s">
        <v>71</v>
      </c>
      <c r="AD157" s="17"/>
      <c r="AE157" s="17">
        <v>-2</v>
      </c>
    </row>
    <row r="158" spans="2:31" x14ac:dyDescent="0.45">
      <c r="AC158" s="17" t="s">
        <v>72</v>
      </c>
      <c r="AD158" s="17"/>
      <c r="AE158" s="17">
        <v>-2</v>
      </c>
    </row>
    <row r="159" spans="2:31" x14ac:dyDescent="0.45">
      <c r="AC159" s="17" t="s">
        <v>73</v>
      </c>
      <c r="AD159" s="17"/>
      <c r="AE159" s="17">
        <v>-6</v>
      </c>
    </row>
    <row r="160" spans="2:31" x14ac:dyDescent="0.45">
      <c r="AC160" s="17" t="s">
        <v>75</v>
      </c>
      <c r="AD160" s="17"/>
      <c r="AE160" s="17">
        <v>-8</v>
      </c>
    </row>
    <row r="161" spans="1:31" x14ac:dyDescent="0.45">
      <c r="AC161" s="17" t="s">
        <v>77</v>
      </c>
      <c r="AD161" s="17"/>
      <c r="AE161" s="17">
        <v>-7</v>
      </c>
    </row>
    <row r="162" spans="1:31" x14ac:dyDescent="0.45">
      <c r="AC162" s="17" t="s">
        <v>78</v>
      </c>
      <c r="AD162" s="17"/>
      <c r="AE162" s="17">
        <v>1</v>
      </c>
    </row>
    <row r="163" spans="1:31" ht="26.25" x14ac:dyDescent="0.45">
      <c r="A163" s="38"/>
      <c r="B163" s="21" t="s">
        <v>0</v>
      </c>
      <c r="C163" s="22">
        <v>1</v>
      </c>
      <c r="D163" s="22">
        <v>2</v>
      </c>
      <c r="E163" s="22">
        <v>3</v>
      </c>
      <c r="F163" s="22">
        <v>4</v>
      </c>
      <c r="G163" s="22">
        <v>5</v>
      </c>
      <c r="H163" s="22">
        <v>6</v>
      </c>
      <c r="I163" s="22" t="s">
        <v>2</v>
      </c>
      <c r="K163" s="21" t="s">
        <v>0</v>
      </c>
      <c r="L163" s="22">
        <v>1</v>
      </c>
      <c r="M163" s="22">
        <v>2</v>
      </c>
      <c r="N163" s="22">
        <v>3</v>
      </c>
      <c r="O163" s="22">
        <v>4</v>
      </c>
      <c r="P163" s="22">
        <v>5</v>
      </c>
      <c r="Q163" s="22">
        <v>6</v>
      </c>
      <c r="R163" s="22" t="s">
        <v>2</v>
      </c>
      <c r="AC163" s="17" t="s">
        <v>79</v>
      </c>
      <c r="AD163" s="17"/>
      <c r="AE163" s="17">
        <v>-9</v>
      </c>
    </row>
    <row r="164" spans="1:31" ht="26.25" x14ac:dyDescent="0.45">
      <c r="B164" s="21" t="s">
        <v>1</v>
      </c>
      <c r="C164" s="22"/>
      <c r="D164" s="22"/>
      <c r="E164" s="22"/>
      <c r="F164" s="22"/>
      <c r="G164" s="22"/>
      <c r="H164" s="22"/>
      <c r="I164" s="22"/>
      <c r="K164" s="21" t="s">
        <v>1</v>
      </c>
      <c r="L164" s="22"/>
      <c r="M164" s="22"/>
      <c r="N164" s="22"/>
      <c r="O164" s="22"/>
      <c r="P164" s="22"/>
      <c r="Q164" s="22"/>
      <c r="R164" s="22"/>
    </row>
    <row r="165" spans="1:31" ht="17.649999999999999" thickBot="1" x14ac:dyDescent="0.5">
      <c r="B165" s="3">
        <v>1</v>
      </c>
      <c r="C165" s="23">
        <v>0</v>
      </c>
      <c r="D165" s="23">
        <v>0</v>
      </c>
      <c r="E165" s="23">
        <v>0</v>
      </c>
      <c r="F165" s="23">
        <v>5</v>
      </c>
      <c r="G165" s="23">
        <v>0</v>
      </c>
      <c r="H165" s="23">
        <v>169</v>
      </c>
      <c r="I165" s="1">
        <v>174</v>
      </c>
      <c r="K165" s="3">
        <v>1</v>
      </c>
      <c r="L165" s="23">
        <v>0</v>
      </c>
      <c r="M165" s="23">
        <v>0</v>
      </c>
      <c r="N165" s="23">
        <v>0</v>
      </c>
      <c r="O165" s="23">
        <v>5</v>
      </c>
      <c r="P165" s="23">
        <v>0</v>
      </c>
      <c r="Q165" s="23">
        <v>169</v>
      </c>
      <c r="R165" s="1">
        <v>174</v>
      </c>
    </row>
    <row r="166" spans="1:31" ht="17.649999999999999" thickBot="1" x14ac:dyDescent="0.5">
      <c r="B166" s="3">
        <v>2</v>
      </c>
      <c r="C166" s="23">
        <v>0</v>
      </c>
      <c r="D166" s="23">
        <v>113</v>
      </c>
      <c r="E166" s="23">
        <v>6</v>
      </c>
      <c r="F166" s="23">
        <v>0</v>
      </c>
      <c r="G166" s="23">
        <v>0</v>
      </c>
      <c r="H166" s="23">
        <v>0</v>
      </c>
      <c r="I166" s="1">
        <v>119</v>
      </c>
      <c r="K166" s="3">
        <v>2</v>
      </c>
      <c r="L166" s="23">
        <v>0</v>
      </c>
      <c r="M166" s="23">
        <v>113</v>
      </c>
      <c r="N166" s="23">
        <v>6</v>
      </c>
      <c r="O166" s="23">
        <v>0</v>
      </c>
      <c r="P166" s="23">
        <v>0</v>
      </c>
      <c r="Q166" s="23">
        <v>0</v>
      </c>
      <c r="R166" s="1">
        <v>119</v>
      </c>
    </row>
    <row r="167" spans="1:31" ht="17.649999999999999" thickBot="1" x14ac:dyDescent="0.5">
      <c r="B167" s="3">
        <v>3</v>
      </c>
      <c r="C167" s="23">
        <v>55</v>
      </c>
      <c r="D167" s="23">
        <v>0</v>
      </c>
      <c r="E167" s="23">
        <v>0</v>
      </c>
      <c r="F167" s="23">
        <v>0</v>
      </c>
      <c r="G167" s="23">
        <v>101</v>
      </c>
      <c r="H167" s="23">
        <v>0</v>
      </c>
      <c r="I167" s="1">
        <v>156</v>
      </c>
      <c r="K167" s="3">
        <v>3</v>
      </c>
      <c r="L167" s="23">
        <v>55</v>
      </c>
      <c r="M167" s="23">
        <v>0</v>
      </c>
      <c r="N167" s="23">
        <v>0</v>
      </c>
      <c r="O167" s="23">
        <v>0</v>
      </c>
      <c r="P167" s="23">
        <v>101</v>
      </c>
      <c r="Q167" s="23">
        <v>0</v>
      </c>
      <c r="R167" s="1">
        <v>156</v>
      </c>
    </row>
    <row r="168" spans="1:31" ht="17.649999999999999" thickBot="1" x14ac:dyDescent="0.5">
      <c r="B168" s="3">
        <v>4</v>
      </c>
      <c r="C168" s="27">
        <v>0</v>
      </c>
      <c r="D168" s="23">
        <v>0</v>
      </c>
      <c r="E168" s="26">
        <v>77</v>
      </c>
      <c r="F168" s="23">
        <v>88</v>
      </c>
      <c r="G168" s="23">
        <v>0</v>
      </c>
      <c r="H168" s="23">
        <v>0</v>
      </c>
      <c r="I168" s="1">
        <v>165</v>
      </c>
      <c r="K168" s="3">
        <v>4</v>
      </c>
      <c r="L168" s="27">
        <v>77</v>
      </c>
      <c r="M168" s="23">
        <v>0</v>
      </c>
      <c r="N168" s="26">
        <v>0</v>
      </c>
      <c r="O168" s="23">
        <v>88</v>
      </c>
      <c r="P168" s="23">
        <v>0</v>
      </c>
      <c r="Q168" s="23">
        <v>0</v>
      </c>
      <c r="R168" s="1">
        <v>165</v>
      </c>
    </row>
    <row r="169" spans="1:31" ht="17.649999999999999" thickBot="1" x14ac:dyDescent="0.5">
      <c r="B169" s="3">
        <v>5</v>
      </c>
      <c r="C169" s="23">
        <v>0</v>
      </c>
      <c r="D169" s="23">
        <v>0</v>
      </c>
      <c r="E169" s="23">
        <v>0</v>
      </c>
      <c r="F169" s="23">
        <v>106</v>
      </c>
      <c r="G169" s="23">
        <v>0</v>
      </c>
      <c r="H169" s="23">
        <v>0</v>
      </c>
      <c r="I169" s="1">
        <v>106</v>
      </c>
      <c r="K169" s="3">
        <v>5</v>
      </c>
      <c r="L169" s="23">
        <v>0</v>
      </c>
      <c r="M169" s="23">
        <v>0</v>
      </c>
      <c r="N169" s="23">
        <v>0</v>
      </c>
      <c r="O169" s="23">
        <v>106</v>
      </c>
      <c r="P169" s="23">
        <v>0</v>
      </c>
      <c r="Q169" s="23">
        <v>0</v>
      </c>
      <c r="R169" s="1">
        <v>106</v>
      </c>
    </row>
    <row r="170" spans="1:31" ht="17.649999999999999" thickBot="1" x14ac:dyDescent="0.5">
      <c r="B170" s="3">
        <v>6</v>
      </c>
      <c r="C170" s="26">
        <f>148-54</f>
        <v>94</v>
      </c>
      <c r="D170" s="23">
        <v>0</v>
      </c>
      <c r="E170" s="27">
        <v>54</v>
      </c>
      <c r="F170" s="23">
        <v>0</v>
      </c>
      <c r="G170" s="23">
        <v>0</v>
      </c>
      <c r="H170" s="23">
        <v>0</v>
      </c>
      <c r="I170" s="1">
        <v>148</v>
      </c>
      <c r="K170" s="3">
        <v>6</v>
      </c>
      <c r="L170" s="26">
        <f>148-54-77</f>
        <v>17</v>
      </c>
      <c r="M170" s="23">
        <v>0</v>
      </c>
      <c r="N170" s="27">
        <f>54+77</f>
        <v>131</v>
      </c>
      <c r="O170" s="23">
        <v>0</v>
      </c>
      <c r="P170" s="23">
        <v>0</v>
      </c>
      <c r="Q170" s="23">
        <v>0</v>
      </c>
      <c r="R170" s="1">
        <v>148</v>
      </c>
    </row>
    <row r="171" spans="1:31" ht="26.65" thickBot="1" x14ac:dyDescent="0.5">
      <c r="B171" s="3" t="s">
        <v>3</v>
      </c>
      <c r="C171" s="1">
        <v>149</v>
      </c>
      <c r="D171" s="1">
        <v>113</v>
      </c>
      <c r="E171" s="1">
        <v>137</v>
      </c>
      <c r="F171" s="1">
        <v>199</v>
      </c>
      <c r="G171" s="1">
        <v>101</v>
      </c>
      <c r="H171" s="1">
        <v>169</v>
      </c>
      <c r="I171" s="1"/>
      <c r="K171" s="3" t="s">
        <v>3</v>
      </c>
      <c r="L171" s="1">
        <v>149</v>
      </c>
      <c r="M171" s="1">
        <v>113</v>
      </c>
      <c r="N171" s="1">
        <v>137</v>
      </c>
      <c r="O171" s="1">
        <v>199</v>
      </c>
      <c r="P171" s="1">
        <v>101</v>
      </c>
      <c r="Q171" s="1">
        <v>169</v>
      </c>
      <c r="R171" s="1"/>
    </row>
    <row r="174" spans="1:31" x14ac:dyDescent="0.45">
      <c r="B174" s="15" t="s">
        <v>22</v>
      </c>
      <c r="C174" s="15"/>
      <c r="D174" s="16"/>
      <c r="F174" s="18" t="s">
        <v>46</v>
      </c>
      <c r="G174" s="28" t="s">
        <v>98</v>
      </c>
      <c r="H174" s="29"/>
      <c r="I174" s="30"/>
      <c r="K174" s="19" t="s">
        <v>50</v>
      </c>
      <c r="L174" s="19"/>
      <c r="M174" s="19"/>
    </row>
    <row r="175" spans="1:31" x14ac:dyDescent="0.45">
      <c r="B175" s="17" t="s">
        <v>23</v>
      </c>
      <c r="C175" s="17" t="s">
        <v>24</v>
      </c>
      <c r="D175" s="17" t="s">
        <v>25</v>
      </c>
      <c r="F175" s="18" t="s">
        <v>47</v>
      </c>
      <c r="G175" s="28" t="s">
        <v>99</v>
      </c>
      <c r="H175" s="29"/>
      <c r="I175" s="30"/>
      <c r="K175" s="17" t="s">
        <v>51</v>
      </c>
      <c r="L175" s="17" t="s">
        <v>52</v>
      </c>
      <c r="M175" s="17">
        <v>-8</v>
      </c>
    </row>
    <row r="176" spans="1:31" x14ac:dyDescent="0.45">
      <c r="B176" s="17" t="s">
        <v>23</v>
      </c>
      <c r="C176" s="17" t="s">
        <v>27</v>
      </c>
      <c r="D176" s="17" t="s">
        <v>26</v>
      </c>
      <c r="K176" s="17" t="s">
        <v>53</v>
      </c>
      <c r="L176" s="17" t="s">
        <v>54</v>
      </c>
      <c r="M176" s="17">
        <v>-6</v>
      </c>
    </row>
    <row r="177" spans="2:13" x14ac:dyDescent="0.45">
      <c r="B177" s="17" t="s">
        <v>29</v>
      </c>
      <c r="C177" s="17" t="s">
        <v>24</v>
      </c>
      <c r="D177" s="17" t="s">
        <v>28</v>
      </c>
      <c r="K177" s="17" t="s">
        <v>55</v>
      </c>
      <c r="L177" s="17" t="s">
        <v>56</v>
      </c>
      <c r="M177" s="17">
        <v>-2</v>
      </c>
    </row>
    <row r="178" spans="2:13" x14ac:dyDescent="0.45">
      <c r="B178" s="17" t="s">
        <v>31</v>
      </c>
      <c r="C178" s="17" t="s">
        <v>24</v>
      </c>
      <c r="D178" s="17" t="s">
        <v>30</v>
      </c>
      <c r="K178" s="17" t="s">
        <v>57</v>
      </c>
      <c r="L178" s="17"/>
      <c r="M178" s="17">
        <v>-6</v>
      </c>
    </row>
    <row r="179" spans="2:13" x14ac:dyDescent="0.45">
      <c r="B179" s="17" t="s">
        <v>29</v>
      </c>
      <c r="C179" s="17" t="s">
        <v>91</v>
      </c>
      <c r="D179" s="17" t="s">
        <v>32</v>
      </c>
      <c r="K179" s="17" t="s">
        <v>58</v>
      </c>
      <c r="L179" s="17"/>
      <c r="M179" s="17">
        <v>-2</v>
      </c>
    </row>
    <row r="180" spans="2:13" x14ac:dyDescent="0.45">
      <c r="B180" s="17" t="s">
        <v>94</v>
      </c>
      <c r="C180" s="17" t="s">
        <v>95</v>
      </c>
      <c r="D180" s="17" t="s">
        <v>84</v>
      </c>
      <c r="K180" s="17" t="s">
        <v>59</v>
      </c>
      <c r="L180" s="17"/>
      <c r="M180" s="32">
        <v>2</v>
      </c>
    </row>
    <row r="181" spans="2:13" x14ac:dyDescent="0.45">
      <c r="B181" s="17" t="s">
        <v>92</v>
      </c>
      <c r="C181" s="17" t="s">
        <v>91</v>
      </c>
      <c r="D181" s="17" t="s">
        <v>38</v>
      </c>
      <c r="K181" s="17" t="s">
        <v>60</v>
      </c>
      <c r="L181" s="17"/>
      <c r="M181" s="17">
        <v>2</v>
      </c>
    </row>
    <row r="182" spans="2:13" x14ac:dyDescent="0.45">
      <c r="B182" s="17" t="s">
        <v>92</v>
      </c>
      <c r="C182" s="17" t="s">
        <v>93</v>
      </c>
      <c r="D182" s="17" t="s">
        <v>39</v>
      </c>
      <c r="K182" s="17" t="s">
        <v>61</v>
      </c>
      <c r="L182" s="17"/>
      <c r="M182" s="17">
        <v>-8</v>
      </c>
    </row>
    <row r="183" spans="2:13" x14ac:dyDescent="0.45">
      <c r="B183" s="17" t="s">
        <v>96</v>
      </c>
      <c r="C183" s="17" t="s">
        <v>95</v>
      </c>
      <c r="D183" s="17" t="s">
        <v>40</v>
      </c>
      <c r="K183" s="17" t="s">
        <v>62</v>
      </c>
      <c r="L183" s="17"/>
      <c r="M183" s="17">
        <v>-12</v>
      </c>
    </row>
    <row r="184" spans="2:13" x14ac:dyDescent="0.45">
      <c r="B184" s="17" t="s">
        <v>94</v>
      </c>
      <c r="C184" s="17" t="s">
        <v>91</v>
      </c>
      <c r="D184" s="17" t="s">
        <v>42</v>
      </c>
      <c r="K184" s="31" t="s">
        <v>90</v>
      </c>
      <c r="M184" s="31">
        <v>-10</v>
      </c>
    </row>
    <row r="185" spans="2:13" x14ac:dyDescent="0.45">
      <c r="B185" s="17" t="s">
        <v>96</v>
      </c>
      <c r="C185" s="17" t="s">
        <v>97</v>
      </c>
      <c r="D185" s="17" t="s">
        <v>44</v>
      </c>
      <c r="K185" s="17" t="s">
        <v>63</v>
      </c>
      <c r="L185" s="17"/>
      <c r="M185" s="17">
        <v>-8</v>
      </c>
    </row>
    <row r="186" spans="2:13" x14ac:dyDescent="0.45">
      <c r="K186" s="17" t="s">
        <v>64</v>
      </c>
      <c r="L186" s="17"/>
      <c r="M186" s="17">
        <v>-13</v>
      </c>
    </row>
    <row r="187" spans="2:13" x14ac:dyDescent="0.45">
      <c r="K187" s="17" t="s">
        <v>66</v>
      </c>
      <c r="L187" s="17"/>
      <c r="M187" s="17">
        <v>-14</v>
      </c>
    </row>
    <row r="188" spans="2:13" x14ac:dyDescent="0.45">
      <c r="K188" s="31" t="s">
        <v>100</v>
      </c>
      <c r="M188" s="31">
        <v>-6</v>
      </c>
    </row>
    <row r="189" spans="2:13" x14ac:dyDescent="0.45">
      <c r="K189" s="17" t="s">
        <v>67</v>
      </c>
      <c r="L189" s="17"/>
      <c r="M189" s="17">
        <v>-8</v>
      </c>
    </row>
    <row r="190" spans="2:13" x14ac:dyDescent="0.45">
      <c r="K190" s="17" t="s">
        <v>68</v>
      </c>
      <c r="L190" s="17"/>
      <c r="M190" s="17">
        <v>-1</v>
      </c>
    </row>
    <row r="191" spans="2:13" x14ac:dyDescent="0.45">
      <c r="K191" s="17" t="s">
        <v>69</v>
      </c>
      <c r="L191" s="17"/>
      <c r="M191" s="33">
        <v>-2</v>
      </c>
    </row>
    <row r="192" spans="2:13" x14ac:dyDescent="0.45">
      <c r="K192" s="17" t="s">
        <v>70</v>
      </c>
      <c r="L192" s="17"/>
      <c r="M192" s="17">
        <v>-18</v>
      </c>
    </row>
    <row r="193" spans="1:27" x14ac:dyDescent="0.45">
      <c r="K193" s="17" t="s">
        <v>71</v>
      </c>
      <c r="L193" s="17"/>
      <c r="M193" s="17">
        <v>-8</v>
      </c>
    </row>
    <row r="194" spans="1:27" x14ac:dyDescent="0.45">
      <c r="K194" s="17" t="s">
        <v>72</v>
      </c>
      <c r="L194" s="17"/>
      <c r="M194" s="17">
        <v>-8</v>
      </c>
      <c r="Y194" s="19" t="s">
        <v>50</v>
      </c>
      <c r="Z194" s="19"/>
      <c r="AA194" s="19"/>
    </row>
    <row r="195" spans="1:27" x14ac:dyDescent="0.45">
      <c r="K195" s="17" t="s">
        <v>73</v>
      </c>
      <c r="L195" s="17"/>
      <c r="M195" s="17">
        <v>-6</v>
      </c>
      <c r="Y195" s="17" t="s">
        <v>51</v>
      </c>
      <c r="Z195" s="17" t="s">
        <v>52</v>
      </c>
      <c r="AA195" s="17">
        <v>-8</v>
      </c>
    </row>
    <row r="196" spans="1:27" x14ac:dyDescent="0.45">
      <c r="K196" s="17" t="s">
        <v>75</v>
      </c>
      <c r="L196" s="17"/>
      <c r="M196" s="17">
        <v>-8</v>
      </c>
      <c r="Y196" s="17" t="s">
        <v>53</v>
      </c>
      <c r="Z196" s="17" t="s">
        <v>54</v>
      </c>
      <c r="AA196" s="17">
        <v>-4</v>
      </c>
    </row>
    <row r="197" spans="1:27" x14ac:dyDescent="0.45">
      <c r="K197" s="17" t="s">
        <v>77</v>
      </c>
      <c r="L197" s="17"/>
      <c r="M197" s="17">
        <v>-1</v>
      </c>
      <c r="Y197" s="17" t="s">
        <v>55</v>
      </c>
      <c r="Z197" s="17" t="s">
        <v>56</v>
      </c>
      <c r="AA197" s="17">
        <v>-2</v>
      </c>
    </row>
    <row r="198" spans="1:27" x14ac:dyDescent="0.45">
      <c r="K198" s="17" t="s">
        <v>78</v>
      </c>
      <c r="L198" s="17"/>
      <c r="M198" s="17">
        <v>1</v>
      </c>
      <c r="Y198" s="17" t="s">
        <v>57</v>
      </c>
      <c r="Z198" s="17"/>
      <c r="AA198" s="17">
        <v>-6</v>
      </c>
    </row>
    <row r="199" spans="1:27" x14ac:dyDescent="0.45">
      <c r="K199" s="17" t="s">
        <v>79</v>
      </c>
      <c r="L199" s="17"/>
      <c r="M199" s="17">
        <v>-3</v>
      </c>
      <c r="Y199" s="17" t="s">
        <v>58</v>
      </c>
      <c r="Z199" s="17"/>
      <c r="AA199" s="17">
        <v>-4</v>
      </c>
    </row>
    <row r="200" spans="1:27" x14ac:dyDescent="0.45">
      <c r="Y200" s="17" t="s">
        <v>106</v>
      </c>
      <c r="Z200" s="17"/>
      <c r="AA200" s="32">
        <v>-2</v>
      </c>
    </row>
    <row r="201" spans="1:27" x14ac:dyDescent="0.45">
      <c r="Y201" s="17" t="s">
        <v>60</v>
      </c>
      <c r="Z201" s="17"/>
      <c r="AA201" s="17">
        <v>0</v>
      </c>
    </row>
    <row r="202" spans="1:27" x14ac:dyDescent="0.45">
      <c r="Y202" s="17" t="s">
        <v>61</v>
      </c>
      <c r="Z202" s="17"/>
      <c r="AA202" s="17">
        <v>-10</v>
      </c>
    </row>
    <row r="203" spans="1:27" x14ac:dyDescent="0.45">
      <c r="Y203" s="17" t="s">
        <v>62</v>
      </c>
      <c r="Z203" s="17"/>
      <c r="AA203" s="17">
        <v>-10</v>
      </c>
    </row>
    <row r="204" spans="1:27" x14ac:dyDescent="0.45">
      <c r="Y204" s="31" t="s">
        <v>90</v>
      </c>
      <c r="AA204" s="31">
        <v>-10</v>
      </c>
    </row>
    <row r="205" spans="1:27" ht="26.25" x14ac:dyDescent="0.45">
      <c r="A205" s="38"/>
      <c r="B205" s="34" t="s">
        <v>0</v>
      </c>
      <c r="C205" s="35">
        <v>1</v>
      </c>
      <c r="D205" s="35">
        <v>2</v>
      </c>
      <c r="E205" s="35">
        <v>3</v>
      </c>
      <c r="F205" s="35">
        <v>4</v>
      </c>
      <c r="G205" s="35">
        <v>5</v>
      </c>
      <c r="H205" s="35">
        <v>6</v>
      </c>
      <c r="I205" s="35" t="s">
        <v>2</v>
      </c>
      <c r="K205" s="34" t="s">
        <v>0</v>
      </c>
      <c r="L205" s="35">
        <v>1</v>
      </c>
      <c r="M205" s="35">
        <v>2</v>
      </c>
      <c r="N205" s="35">
        <v>3</v>
      </c>
      <c r="O205" s="35">
        <v>4</v>
      </c>
      <c r="P205" s="35">
        <v>5</v>
      </c>
      <c r="Q205" s="35">
        <v>6</v>
      </c>
      <c r="R205" s="35" t="s">
        <v>2</v>
      </c>
      <c r="T205" s="15" t="s">
        <v>22</v>
      </c>
      <c r="U205" s="15"/>
      <c r="V205" s="16"/>
      <c r="Y205" s="17" t="s">
        <v>63</v>
      </c>
      <c r="Z205" s="17"/>
      <c r="AA205" s="17">
        <v>-8</v>
      </c>
    </row>
    <row r="206" spans="1:27" ht="26.25" x14ac:dyDescent="0.45">
      <c r="B206" s="34" t="s">
        <v>1</v>
      </c>
      <c r="C206" s="35"/>
      <c r="D206" s="35"/>
      <c r="E206" s="35"/>
      <c r="F206" s="35"/>
      <c r="G206" s="35"/>
      <c r="H206" s="35"/>
      <c r="I206" s="35"/>
      <c r="K206" s="34" t="s">
        <v>1</v>
      </c>
      <c r="L206" s="35"/>
      <c r="M206" s="35"/>
      <c r="N206" s="35"/>
      <c r="O206" s="35"/>
      <c r="P206" s="35"/>
      <c r="Q206" s="35"/>
      <c r="R206" s="35"/>
      <c r="T206" s="17" t="s">
        <v>23</v>
      </c>
      <c r="U206" s="17" t="s">
        <v>24</v>
      </c>
      <c r="V206" s="17" t="s">
        <v>25</v>
      </c>
      <c r="Y206" s="17" t="s">
        <v>64</v>
      </c>
      <c r="Z206" s="17"/>
      <c r="AA206" s="17">
        <v>-13</v>
      </c>
    </row>
    <row r="207" spans="1:27" ht="17.649999999999999" thickBot="1" x14ac:dyDescent="0.5">
      <c r="B207" s="36">
        <v>1</v>
      </c>
      <c r="C207" s="23">
        <v>0</v>
      </c>
      <c r="D207" s="23">
        <v>0</v>
      </c>
      <c r="E207" s="23">
        <v>0</v>
      </c>
      <c r="F207" s="23">
        <v>5</v>
      </c>
      <c r="G207" s="23">
        <v>0</v>
      </c>
      <c r="H207" s="23">
        <v>169</v>
      </c>
      <c r="I207" s="23">
        <v>174</v>
      </c>
      <c r="K207" s="36">
        <v>1</v>
      </c>
      <c r="L207" s="23">
        <v>0</v>
      </c>
      <c r="M207" s="23">
        <v>0</v>
      </c>
      <c r="N207" s="23">
        <v>0</v>
      </c>
      <c r="O207" s="23">
        <v>5</v>
      </c>
      <c r="P207" s="23">
        <v>0</v>
      </c>
      <c r="Q207" s="23">
        <v>169</v>
      </c>
      <c r="R207" s="23">
        <v>174</v>
      </c>
      <c r="T207" s="17" t="s">
        <v>23</v>
      </c>
      <c r="U207" s="17" t="s">
        <v>27</v>
      </c>
      <c r="V207" s="17" t="s">
        <v>26</v>
      </c>
      <c r="Y207" s="17" t="s">
        <v>66</v>
      </c>
      <c r="Z207" s="17"/>
      <c r="AA207" s="17">
        <v>-12</v>
      </c>
    </row>
    <row r="208" spans="1:27" ht="17.649999999999999" thickBot="1" x14ac:dyDescent="0.5">
      <c r="B208" s="36">
        <v>2</v>
      </c>
      <c r="C208" s="23">
        <v>0</v>
      </c>
      <c r="D208" s="23">
        <v>113</v>
      </c>
      <c r="E208" s="26">
        <v>6</v>
      </c>
      <c r="F208" s="27">
        <v>0</v>
      </c>
      <c r="G208" s="23">
        <v>0</v>
      </c>
      <c r="H208" s="23">
        <v>0</v>
      </c>
      <c r="I208" s="23">
        <v>119</v>
      </c>
      <c r="K208" s="36">
        <v>2</v>
      </c>
      <c r="L208" s="23">
        <v>0</v>
      </c>
      <c r="M208" s="23">
        <v>113</v>
      </c>
      <c r="N208" s="26">
        <v>0</v>
      </c>
      <c r="O208" s="27">
        <v>6</v>
      </c>
      <c r="P208" s="23">
        <v>0</v>
      </c>
      <c r="Q208" s="23">
        <v>0</v>
      </c>
      <c r="R208" s="23">
        <v>119</v>
      </c>
      <c r="T208" s="17" t="s">
        <v>29</v>
      </c>
      <c r="U208" s="17" t="s">
        <v>24</v>
      </c>
      <c r="V208" s="17" t="s">
        <v>28</v>
      </c>
      <c r="Y208" s="31" t="s">
        <v>100</v>
      </c>
      <c r="AA208" s="31">
        <v>-6</v>
      </c>
    </row>
    <row r="209" spans="2:27" ht="17.649999999999999" thickBot="1" x14ac:dyDescent="0.5">
      <c r="B209" s="36">
        <v>3</v>
      </c>
      <c r="C209" s="23">
        <v>55</v>
      </c>
      <c r="D209" s="23">
        <v>0</v>
      </c>
      <c r="E209" s="23">
        <v>0</v>
      </c>
      <c r="F209" s="23">
        <v>0</v>
      </c>
      <c r="G209" s="23">
        <v>101</v>
      </c>
      <c r="H209" s="23">
        <v>0</v>
      </c>
      <c r="I209" s="23">
        <v>156</v>
      </c>
      <c r="K209" s="36">
        <v>3</v>
      </c>
      <c r="L209" s="23">
        <v>55</v>
      </c>
      <c r="M209" s="23">
        <v>0</v>
      </c>
      <c r="N209" s="23">
        <v>0</v>
      </c>
      <c r="O209" s="23">
        <v>0</v>
      </c>
      <c r="P209" s="23">
        <v>101</v>
      </c>
      <c r="Q209" s="23">
        <v>0</v>
      </c>
      <c r="R209" s="23">
        <v>156</v>
      </c>
      <c r="T209" s="17" t="s">
        <v>31</v>
      </c>
      <c r="U209" s="17" t="s">
        <v>24</v>
      </c>
      <c r="V209" s="17" t="s">
        <v>30</v>
      </c>
      <c r="Y209" s="17" t="s">
        <v>67</v>
      </c>
      <c r="Z209" s="17"/>
      <c r="AA209" s="17">
        <v>-8</v>
      </c>
    </row>
    <row r="210" spans="2:27" ht="17.649999999999999" thickBot="1" x14ac:dyDescent="0.5">
      <c r="B210" s="36">
        <v>4</v>
      </c>
      <c r="C210" s="27">
        <v>77</v>
      </c>
      <c r="D210" s="23">
        <v>0</v>
      </c>
      <c r="E210" s="23">
        <v>0</v>
      </c>
      <c r="F210" s="26">
        <v>88</v>
      </c>
      <c r="G210" s="23">
        <v>0</v>
      </c>
      <c r="H210" s="23">
        <v>0</v>
      </c>
      <c r="I210" s="23">
        <v>165</v>
      </c>
      <c r="K210" s="36">
        <v>4</v>
      </c>
      <c r="L210" s="27">
        <f>77+6</f>
        <v>83</v>
      </c>
      <c r="M210" s="23">
        <v>0</v>
      </c>
      <c r="N210" s="23">
        <v>0</v>
      </c>
      <c r="O210" s="26">
        <v>82</v>
      </c>
      <c r="P210" s="23">
        <v>0</v>
      </c>
      <c r="Q210" s="23">
        <v>0</v>
      </c>
      <c r="R210" s="23">
        <v>165</v>
      </c>
      <c r="T210" s="17" t="s">
        <v>29</v>
      </c>
      <c r="U210" s="17" t="s">
        <v>91</v>
      </c>
      <c r="V210" s="17" t="s">
        <v>103</v>
      </c>
      <c r="Y210" s="17" t="s">
        <v>68</v>
      </c>
      <c r="Z210" s="17"/>
      <c r="AA210" s="17">
        <v>-1</v>
      </c>
    </row>
    <row r="211" spans="2:27" ht="17.649999999999999" thickBot="1" x14ac:dyDescent="0.5">
      <c r="B211" s="36">
        <v>5</v>
      </c>
      <c r="C211" s="23">
        <v>0</v>
      </c>
      <c r="D211" s="23">
        <v>0</v>
      </c>
      <c r="E211" s="23">
        <v>0</v>
      </c>
      <c r="F211" s="23">
        <v>106</v>
      </c>
      <c r="G211" s="23">
        <v>0</v>
      </c>
      <c r="H211" s="23">
        <v>0</v>
      </c>
      <c r="I211" s="23">
        <v>106</v>
      </c>
      <c r="K211" s="36">
        <v>5</v>
      </c>
      <c r="L211" s="23">
        <v>0</v>
      </c>
      <c r="M211" s="23">
        <v>0</v>
      </c>
      <c r="N211" s="23">
        <v>0</v>
      </c>
      <c r="O211" s="23">
        <v>106</v>
      </c>
      <c r="P211" s="23">
        <v>0</v>
      </c>
      <c r="Q211" s="23">
        <v>0</v>
      </c>
      <c r="R211" s="23">
        <v>106</v>
      </c>
      <c r="T211" s="17" t="s">
        <v>94</v>
      </c>
      <c r="U211" s="17" t="s">
        <v>95</v>
      </c>
      <c r="V211" s="17" t="s">
        <v>84</v>
      </c>
      <c r="Y211" s="17" t="s">
        <v>69</v>
      </c>
      <c r="Z211" s="17"/>
      <c r="AA211" s="33">
        <v>-2</v>
      </c>
    </row>
    <row r="212" spans="2:27" ht="17.649999999999999" thickBot="1" x14ac:dyDescent="0.5">
      <c r="B212" s="36">
        <v>6</v>
      </c>
      <c r="C212" s="26">
        <f>148-54-77</f>
        <v>17</v>
      </c>
      <c r="D212" s="23">
        <v>0</v>
      </c>
      <c r="E212" s="27">
        <f>54+77</f>
        <v>131</v>
      </c>
      <c r="F212" s="23">
        <v>0</v>
      </c>
      <c r="G212" s="23">
        <v>0</v>
      </c>
      <c r="H212" s="23">
        <v>0</v>
      </c>
      <c r="I212" s="23">
        <v>148</v>
      </c>
      <c r="K212" s="36">
        <v>6</v>
      </c>
      <c r="L212" s="26">
        <f>148-54-77-6</f>
        <v>11</v>
      </c>
      <c r="M212" s="23">
        <v>0</v>
      </c>
      <c r="N212" s="27">
        <f>54+77+6</f>
        <v>137</v>
      </c>
      <c r="O212" s="23">
        <v>0</v>
      </c>
      <c r="P212" s="23">
        <v>0</v>
      </c>
      <c r="Q212" s="23">
        <v>0</v>
      </c>
      <c r="R212" s="23">
        <v>148</v>
      </c>
      <c r="T212" s="17" t="s">
        <v>92</v>
      </c>
      <c r="U212" s="17" t="s">
        <v>91</v>
      </c>
      <c r="V212" s="17" t="s">
        <v>38</v>
      </c>
      <c r="Y212" s="17" t="s">
        <v>70</v>
      </c>
      <c r="Z212" s="17"/>
      <c r="AA212" s="17">
        <v>-16</v>
      </c>
    </row>
    <row r="213" spans="2:27" ht="26.65" thickBot="1" x14ac:dyDescent="0.5">
      <c r="B213" s="36" t="s">
        <v>3</v>
      </c>
      <c r="C213" s="23">
        <v>149</v>
      </c>
      <c r="D213" s="23">
        <v>113</v>
      </c>
      <c r="E213" s="23">
        <v>137</v>
      </c>
      <c r="F213" s="23">
        <v>199</v>
      </c>
      <c r="G213" s="23">
        <v>101</v>
      </c>
      <c r="H213" s="23">
        <v>169</v>
      </c>
      <c r="I213" s="23"/>
      <c r="K213" s="36" t="s">
        <v>3</v>
      </c>
      <c r="L213" s="23">
        <v>149</v>
      </c>
      <c r="M213" s="23">
        <v>113</v>
      </c>
      <c r="N213" s="23">
        <v>137</v>
      </c>
      <c r="O213" s="23">
        <v>199</v>
      </c>
      <c r="P213" s="23">
        <v>101</v>
      </c>
      <c r="Q213" s="23">
        <v>169</v>
      </c>
      <c r="R213" s="23"/>
      <c r="T213" s="17" t="s">
        <v>92</v>
      </c>
      <c r="U213" s="17" t="s">
        <v>93</v>
      </c>
      <c r="V213" s="17" t="s">
        <v>39</v>
      </c>
      <c r="Y213" s="17" t="s">
        <v>71</v>
      </c>
      <c r="Z213" s="17"/>
      <c r="AA213" s="17">
        <v>-8</v>
      </c>
    </row>
    <row r="214" spans="2:27" x14ac:dyDescent="0.45">
      <c r="T214" s="17" t="s">
        <v>102</v>
      </c>
      <c r="U214" s="17" t="s">
        <v>24</v>
      </c>
      <c r="V214" s="17" t="s">
        <v>101</v>
      </c>
      <c r="Y214" s="17" t="s">
        <v>72</v>
      </c>
      <c r="Z214" s="17"/>
      <c r="AA214" s="17">
        <v>-8</v>
      </c>
    </row>
    <row r="215" spans="2:27" x14ac:dyDescent="0.45">
      <c r="T215" s="17" t="s">
        <v>94</v>
      </c>
      <c r="U215" s="17" t="s">
        <v>91</v>
      </c>
      <c r="V215" s="17" t="s">
        <v>42</v>
      </c>
      <c r="Y215" s="17" t="s">
        <v>73</v>
      </c>
      <c r="Z215" s="17"/>
      <c r="AA215" s="17">
        <v>-6</v>
      </c>
    </row>
    <row r="216" spans="2:27" x14ac:dyDescent="0.45">
      <c r="T216" s="17" t="s">
        <v>96</v>
      </c>
      <c r="U216" s="17" t="s">
        <v>97</v>
      </c>
      <c r="V216" s="17" t="s">
        <v>44</v>
      </c>
      <c r="Y216" s="17" t="s">
        <v>75</v>
      </c>
      <c r="Z216" s="17"/>
      <c r="AA216" s="17">
        <v>-6</v>
      </c>
    </row>
    <row r="217" spans="2:27" x14ac:dyDescent="0.45">
      <c r="Y217" s="17" t="s">
        <v>77</v>
      </c>
      <c r="Z217" s="17"/>
      <c r="AA217" s="17">
        <v>-1</v>
      </c>
    </row>
    <row r="218" spans="2:27" x14ac:dyDescent="0.45">
      <c r="T218" s="18" t="s">
        <v>46</v>
      </c>
      <c r="U218" s="28" t="s">
        <v>104</v>
      </c>
      <c r="V218" s="29"/>
      <c r="W218" s="30"/>
      <c r="Y218" s="17" t="s">
        <v>78</v>
      </c>
      <c r="Z218" s="17"/>
      <c r="AA218" s="32">
        <v>1</v>
      </c>
    </row>
    <row r="219" spans="2:27" x14ac:dyDescent="0.45">
      <c r="T219" s="18" t="s">
        <v>47</v>
      </c>
      <c r="U219" s="28" t="s">
        <v>105</v>
      </c>
      <c r="V219" s="29"/>
      <c r="W219" s="30"/>
      <c r="Y219" s="17" t="s">
        <v>79</v>
      </c>
      <c r="Z219" s="17"/>
      <c r="AA219" s="17">
        <v>-3</v>
      </c>
    </row>
    <row r="225" spans="1:27" ht="26.25" x14ac:dyDescent="0.45">
      <c r="A225" s="38"/>
      <c r="B225" s="34" t="s">
        <v>0</v>
      </c>
      <c r="C225" s="35">
        <v>1</v>
      </c>
      <c r="D225" s="35">
        <v>2</v>
      </c>
      <c r="E225" s="35">
        <v>3</v>
      </c>
      <c r="F225" s="35">
        <v>4</v>
      </c>
      <c r="G225" s="35">
        <v>5</v>
      </c>
      <c r="H225" s="35">
        <v>6</v>
      </c>
      <c r="I225" s="35" t="s">
        <v>2</v>
      </c>
      <c r="K225" s="34" t="s">
        <v>0</v>
      </c>
      <c r="L225" s="35">
        <v>1</v>
      </c>
      <c r="M225" s="35">
        <v>2</v>
      </c>
      <c r="N225" s="35">
        <v>3</v>
      </c>
      <c r="O225" s="35">
        <v>4</v>
      </c>
      <c r="P225" s="35">
        <v>5</v>
      </c>
      <c r="Q225" s="35">
        <v>6</v>
      </c>
      <c r="R225" s="35" t="s">
        <v>2</v>
      </c>
      <c r="T225" s="15" t="s">
        <v>22</v>
      </c>
      <c r="U225" s="15"/>
      <c r="V225" s="16"/>
      <c r="Y225" s="19" t="s">
        <v>50</v>
      </c>
      <c r="Z225" s="19"/>
      <c r="AA225" s="19"/>
    </row>
    <row r="226" spans="1:27" ht="26.25" x14ac:dyDescent="0.45">
      <c r="B226" s="34" t="s">
        <v>1</v>
      </c>
      <c r="C226" s="35"/>
      <c r="D226" s="35"/>
      <c r="E226" s="35"/>
      <c r="F226" s="35"/>
      <c r="G226" s="35"/>
      <c r="H226" s="35"/>
      <c r="I226" s="35"/>
      <c r="K226" s="34" t="s">
        <v>1</v>
      </c>
      <c r="L226" s="35"/>
      <c r="M226" s="35"/>
      <c r="N226" s="35"/>
      <c r="O226" s="35"/>
      <c r="P226" s="35"/>
      <c r="Q226" s="35"/>
      <c r="R226" s="35"/>
      <c r="T226" s="17" t="s">
        <v>23</v>
      </c>
      <c r="U226" s="17" t="s">
        <v>24</v>
      </c>
      <c r="V226" s="17" t="s">
        <v>25</v>
      </c>
      <c r="Y226" s="17" t="s">
        <v>51</v>
      </c>
      <c r="Z226" s="17" t="s">
        <v>52</v>
      </c>
      <c r="AA226" s="17">
        <v>-8</v>
      </c>
    </row>
    <row r="227" spans="1:27" ht="17.649999999999999" thickBot="1" x14ac:dyDescent="0.5">
      <c r="B227" s="36">
        <v>1</v>
      </c>
      <c r="C227" s="23">
        <v>0</v>
      </c>
      <c r="D227" s="23">
        <v>0</v>
      </c>
      <c r="E227" s="23">
        <v>0</v>
      </c>
      <c r="F227" s="23">
        <v>5</v>
      </c>
      <c r="G227" s="23">
        <v>0</v>
      </c>
      <c r="H227" s="23">
        <v>169</v>
      </c>
      <c r="I227" s="23">
        <v>174</v>
      </c>
      <c r="K227" s="36">
        <v>1</v>
      </c>
      <c r="L227" s="23">
        <v>0</v>
      </c>
      <c r="M227" s="23">
        <v>0</v>
      </c>
      <c r="N227" s="23">
        <v>0</v>
      </c>
      <c r="O227" s="23">
        <v>5</v>
      </c>
      <c r="P227" s="23">
        <v>0</v>
      </c>
      <c r="Q227" s="23">
        <v>169</v>
      </c>
      <c r="R227" s="23">
        <v>174</v>
      </c>
      <c r="T227" s="17" t="s">
        <v>23</v>
      </c>
      <c r="U227" s="17" t="s">
        <v>27</v>
      </c>
      <c r="V227" s="17" t="s">
        <v>26</v>
      </c>
      <c r="Y227" s="17" t="s">
        <v>53</v>
      </c>
      <c r="Z227" s="17" t="s">
        <v>54</v>
      </c>
      <c r="AA227" s="17">
        <v>-4</v>
      </c>
    </row>
    <row r="228" spans="1:27" ht="17.649999999999999" thickBot="1" x14ac:dyDescent="0.5">
      <c r="B228" s="36">
        <v>2</v>
      </c>
      <c r="C228" s="23">
        <v>0</v>
      </c>
      <c r="D228" s="23">
        <v>113</v>
      </c>
      <c r="E228" s="23">
        <v>0</v>
      </c>
      <c r="F228" s="23">
        <v>6</v>
      </c>
      <c r="G228" s="23">
        <v>0</v>
      </c>
      <c r="H228" s="23">
        <v>0</v>
      </c>
      <c r="I228" s="23">
        <v>119</v>
      </c>
      <c r="K228" s="36">
        <v>2</v>
      </c>
      <c r="L228" s="23">
        <v>0</v>
      </c>
      <c r="M228" s="23">
        <v>113</v>
      </c>
      <c r="N228" s="23">
        <v>0</v>
      </c>
      <c r="O228" s="23">
        <v>6</v>
      </c>
      <c r="P228" s="23">
        <v>0</v>
      </c>
      <c r="Q228" s="23">
        <v>0</v>
      </c>
      <c r="R228" s="23">
        <v>119</v>
      </c>
      <c r="T228" s="17" t="s">
        <v>29</v>
      </c>
      <c r="U228" s="17" t="s">
        <v>24</v>
      </c>
      <c r="V228" s="17" t="s">
        <v>28</v>
      </c>
      <c r="Y228" s="17" t="s">
        <v>55</v>
      </c>
      <c r="Z228" s="17" t="s">
        <v>56</v>
      </c>
      <c r="AA228" s="17">
        <v>-1</v>
      </c>
    </row>
    <row r="229" spans="1:27" ht="17.649999999999999" thickBot="1" x14ac:dyDescent="0.5">
      <c r="B229" s="36">
        <v>3</v>
      </c>
      <c r="C229" s="27">
        <v>55</v>
      </c>
      <c r="D229" s="23">
        <v>0</v>
      </c>
      <c r="E229" s="23">
        <v>0</v>
      </c>
      <c r="F229" s="23">
        <v>0</v>
      </c>
      <c r="G229" s="26">
        <v>101</v>
      </c>
      <c r="H229" s="23">
        <v>0</v>
      </c>
      <c r="I229" s="23">
        <v>156</v>
      </c>
      <c r="K229" s="36">
        <v>3</v>
      </c>
      <c r="L229" s="27">
        <f>55+11</f>
        <v>66</v>
      </c>
      <c r="M229" s="23">
        <v>0</v>
      </c>
      <c r="N229" s="23">
        <v>0</v>
      </c>
      <c r="O229" s="23">
        <v>0</v>
      </c>
      <c r="P229" s="26">
        <f>101-11</f>
        <v>90</v>
      </c>
      <c r="Q229" s="23">
        <v>0</v>
      </c>
      <c r="R229" s="23">
        <v>156</v>
      </c>
      <c r="T229" s="17" t="s">
        <v>31</v>
      </c>
      <c r="U229" s="17" t="s">
        <v>24</v>
      </c>
      <c r="V229" s="17" t="s">
        <v>30</v>
      </c>
      <c r="Y229" s="17" t="s">
        <v>57</v>
      </c>
      <c r="Z229" s="17"/>
      <c r="AA229" s="17">
        <v>-6</v>
      </c>
    </row>
    <row r="230" spans="1:27" ht="17.649999999999999" thickBot="1" x14ac:dyDescent="0.5">
      <c r="B230" s="36">
        <v>4</v>
      </c>
      <c r="C230" s="23">
        <f>77+6</f>
        <v>83</v>
      </c>
      <c r="D230" s="23">
        <v>0</v>
      </c>
      <c r="E230" s="23">
        <v>0</v>
      </c>
      <c r="F230" s="23">
        <v>82</v>
      </c>
      <c r="G230" s="23">
        <v>0</v>
      </c>
      <c r="H230" s="23">
        <v>0</v>
      </c>
      <c r="I230" s="23">
        <v>165</v>
      </c>
      <c r="K230" s="36">
        <v>4</v>
      </c>
      <c r="L230" s="23">
        <f>77+6</f>
        <v>83</v>
      </c>
      <c r="M230" s="23">
        <v>0</v>
      </c>
      <c r="N230" s="23">
        <v>0</v>
      </c>
      <c r="O230" s="23">
        <v>82</v>
      </c>
      <c r="P230" s="23">
        <v>0</v>
      </c>
      <c r="Q230" s="23">
        <v>0</v>
      </c>
      <c r="R230" s="23">
        <v>165</v>
      </c>
      <c r="T230" s="17" t="s">
        <v>29</v>
      </c>
      <c r="U230" s="17" t="s">
        <v>91</v>
      </c>
      <c r="V230" s="17" t="s">
        <v>103</v>
      </c>
      <c r="Y230" s="17" t="s">
        <v>58</v>
      </c>
      <c r="Z230" s="17"/>
      <c r="AA230" s="17">
        <v>-4</v>
      </c>
    </row>
    <row r="231" spans="1:27" ht="17.649999999999999" thickBot="1" x14ac:dyDescent="0.5">
      <c r="B231" s="36">
        <v>5</v>
      </c>
      <c r="C231" s="23">
        <v>0</v>
      </c>
      <c r="D231" s="23">
        <v>0</v>
      </c>
      <c r="E231" s="23">
        <v>0</v>
      </c>
      <c r="F231" s="23">
        <v>106</v>
      </c>
      <c r="G231" s="23">
        <v>0</v>
      </c>
      <c r="H231" s="23">
        <v>0</v>
      </c>
      <c r="I231" s="23">
        <v>106</v>
      </c>
      <c r="K231" s="36">
        <v>5</v>
      </c>
      <c r="L231" s="23">
        <v>0</v>
      </c>
      <c r="M231" s="23">
        <v>0</v>
      </c>
      <c r="N231" s="23">
        <v>0</v>
      </c>
      <c r="O231" s="23">
        <v>106</v>
      </c>
      <c r="P231" s="23">
        <v>0</v>
      </c>
      <c r="Q231" s="23">
        <v>0</v>
      </c>
      <c r="R231" s="23">
        <v>106</v>
      </c>
      <c r="T231" s="17" t="s">
        <v>107</v>
      </c>
      <c r="U231" s="17" t="s">
        <v>108</v>
      </c>
      <c r="V231" s="17" t="s">
        <v>84</v>
      </c>
      <c r="Y231" s="17" t="s">
        <v>106</v>
      </c>
      <c r="Z231" s="17"/>
      <c r="AA231" s="33">
        <v>-1</v>
      </c>
    </row>
    <row r="232" spans="1:27" ht="17.649999999999999" thickBot="1" x14ac:dyDescent="0.5">
      <c r="B232" s="36">
        <v>6</v>
      </c>
      <c r="C232" s="26">
        <f>148-54-77-6</f>
        <v>11</v>
      </c>
      <c r="D232" s="23">
        <v>0</v>
      </c>
      <c r="E232" s="23">
        <f>54+77+6</f>
        <v>137</v>
      </c>
      <c r="F232" s="23">
        <v>0</v>
      </c>
      <c r="G232" s="27">
        <v>0</v>
      </c>
      <c r="H232" s="23">
        <v>0</v>
      </c>
      <c r="I232" s="23">
        <v>148</v>
      </c>
      <c r="K232" s="36">
        <v>6</v>
      </c>
      <c r="L232" s="26">
        <f>148-54-77-6-11</f>
        <v>0</v>
      </c>
      <c r="M232" s="23">
        <v>0</v>
      </c>
      <c r="N232" s="23">
        <f>54+77+6</f>
        <v>137</v>
      </c>
      <c r="O232" s="23">
        <v>0</v>
      </c>
      <c r="P232" s="27">
        <v>11</v>
      </c>
      <c r="Q232" s="23">
        <v>0</v>
      </c>
      <c r="R232" s="23">
        <v>148</v>
      </c>
      <c r="T232" s="17" t="s">
        <v>92</v>
      </c>
      <c r="U232" s="17" t="s">
        <v>91</v>
      </c>
      <c r="V232" s="17" t="s">
        <v>38</v>
      </c>
      <c r="Y232" s="17" t="s">
        <v>60</v>
      </c>
      <c r="Z232" s="17"/>
      <c r="AA232" s="17">
        <v>0</v>
      </c>
    </row>
    <row r="233" spans="1:27" ht="26.65" thickBot="1" x14ac:dyDescent="0.5">
      <c r="B233" s="36" t="s">
        <v>3</v>
      </c>
      <c r="C233" s="23">
        <v>149</v>
      </c>
      <c r="D233" s="23">
        <v>113</v>
      </c>
      <c r="E233" s="23">
        <v>137</v>
      </c>
      <c r="F233" s="23">
        <v>199</v>
      </c>
      <c r="G233" s="23">
        <v>101</v>
      </c>
      <c r="H233" s="23">
        <v>169</v>
      </c>
      <c r="I233" s="23"/>
      <c r="K233" s="36" t="s">
        <v>3</v>
      </c>
      <c r="L233" s="23">
        <v>149</v>
      </c>
      <c r="M233" s="23">
        <v>113</v>
      </c>
      <c r="N233" s="23">
        <v>137</v>
      </c>
      <c r="O233" s="23">
        <v>199</v>
      </c>
      <c r="P233" s="23">
        <v>101</v>
      </c>
      <c r="Q233" s="23">
        <v>169</v>
      </c>
      <c r="R233" s="23"/>
      <c r="T233" s="17" t="s">
        <v>92</v>
      </c>
      <c r="U233" s="17" t="s">
        <v>93</v>
      </c>
      <c r="V233" s="17" t="s">
        <v>39</v>
      </c>
      <c r="Y233" s="17" t="s">
        <v>61</v>
      </c>
      <c r="Z233" s="17"/>
      <c r="AA233" s="17">
        <v>-10</v>
      </c>
    </row>
    <row r="234" spans="1:27" x14ac:dyDescent="0.45">
      <c r="T234" s="17" t="s">
        <v>102</v>
      </c>
      <c r="U234" s="17" t="s">
        <v>24</v>
      </c>
      <c r="V234" s="17" t="s">
        <v>101</v>
      </c>
      <c r="Y234" s="17" t="s">
        <v>62</v>
      </c>
      <c r="Z234" s="17"/>
      <c r="AA234" s="17">
        <v>-10</v>
      </c>
    </row>
    <row r="235" spans="1:27" x14ac:dyDescent="0.45">
      <c r="T235" s="17" t="s">
        <v>107</v>
      </c>
      <c r="U235" s="17" t="s">
        <v>93</v>
      </c>
      <c r="V235" s="17" t="s">
        <v>109</v>
      </c>
      <c r="Y235" s="31" t="s">
        <v>90</v>
      </c>
      <c r="AA235" s="31">
        <v>-9</v>
      </c>
    </row>
    <row r="236" spans="1:27" x14ac:dyDescent="0.45">
      <c r="T236" s="17" t="s">
        <v>96</v>
      </c>
      <c r="U236" s="17" t="s">
        <v>97</v>
      </c>
      <c r="V236" s="17" t="s">
        <v>44</v>
      </c>
      <c r="Y236" s="17" t="s">
        <v>63</v>
      </c>
      <c r="Z236" s="17"/>
      <c r="AA236" s="17">
        <v>-8</v>
      </c>
    </row>
    <row r="237" spans="1:27" x14ac:dyDescent="0.45">
      <c r="Y237" s="17" t="s">
        <v>64</v>
      </c>
      <c r="Z237" s="17"/>
      <c r="AA237" s="17">
        <v>-13</v>
      </c>
    </row>
    <row r="238" spans="1:27" x14ac:dyDescent="0.45">
      <c r="T238" s="18" t="s">
        <v>46</v>
      </c>
      <c r="U238" s="28" t="s">
        <v>110</v>
      </c>
      <c r="V238" s="29"/>
      <c r="W238" s="30"/>
      <c r="Y238" s="17" t="s">
        <v>66</v>
      </c>
      <c r="Z238" s="17"/>
      <c r="AA238" s="17">
        <v>-12</v>
      </c>
    </row>
    <row r="239" spans="1:27" x14ac:dyDescent="0.45">
      <c r="T239" s="18" t="s">
        <v>47</v>
      </c>
      <c r="U239" s="28" t="s">
        <v>111</v>
      </c>
      <c r="V239" s="29"/>
      <c r="W239" s="30"/>
      <c r="Y239" s="31" t="s">
        <v>100</v>
      </c>
      <c r="AA239" s="31">
        <v>-5</v>
      </c>
    </row>
    <row r="240" spans="1:27" x14ac:dyDescent="0.45">
      <c r="Y240" s="17" t="s">
        <v>67</v>
      </c>
      <c r="Z240" s="17"/>
      <c r="AA240" s="17">
        <v>-8</v>
      </c>
    </row>
    <row r="241" spans="2:30" x14ac:dyDescent="0.45">
      <c r="Y241" s="17" t="s">
        <v>68</v>
      </c>
      <c r="Z241" s="17"/>
      <c r="AA241" s="17">
        <v>-1</v>
      </c>
    </row>
    <row r="242" spans="2:30" x14ac:dyDescent="0.45">
      <c r="Y242" s="17" t="s">
        <v>69</v>
      </c>
      <c r="Z242" s="17"/>
      <c r="AA242" s="33">
        <v>-2</v>
      </c>
    </row>
    <row r="243" spans="2:30" x14ac:dyDescent="0.45">
      <c r="Y243" s="17" t="s">
        <v>70</v>
      </c>
      <c r="Z243" s="17"/>
      <c r="AA243" s="17">
        <v>-16</v>
      </c>
    </row>
    <row r="244" spans="2:30" x14ac:dyDescent="0.45">
      <c r="Y244" s="17" t="s">
        <v>71</v>
      </c>
      <c r="Z244" s="17"/>
      <c r="AA244" s="17">
        <v>-7</v>
      </c>
    </row>
    <row r="245" spans="2:30" x14ac:dyDescent="0.45">
      <c r="Y245" s="17" t="s">
        <v>72</v>
      </c>
      <c r="Z245" s="17"/>
      <c r="AA245" s="17">
        <v>-8</v>
      </c>
    </row>
    <row r="246" spans="2:30" x14ac:dyDescent="0.45">
      <c r="Y246" s="17" t="s">
        <v>73</v>
      </c>
      <c r="Z246" s="17"/>
      <c r="AA246" s="17">
        <v>-6</v>
      </c>
    </row>
    <row r="247" spans="2:30" x14ac:dyDescent="0.45">
      <c r="Y247" s="31" t="s">
        <v>74</v>
      </c>
      <c r="AA247" s="31">
        <v>-1</v>
      </c>
      <c r="AB247" s="37" t="s">
        <v>112</v>
      </c>
      <c r="AC247" s="14"/>
      <c r="AD247" s="14"/>
    </row>
    <row r="248" spans="2:30" x14ac:dyDescent="0.45">
      <c r="Y248" s="17" t="s">
        <v>75</v>
      </c>
      <c r="Z248" s="17"/>
      <c r="AA248" s="17">
        <v>-7</v>
      </c>
      <c r="AB248" s="37"/>
      <c r="AC248" s="14"/>
      <c r="AD248" s="14"/>
    </row>
    <row r="249" spans="2:30" x14ac:dyDescent="0.45">
      <c r="Y249" s="17" t="s">
        <v>77</v>
      </c>
      <c r="Z249" s="17"/>
      <c r="AA249" s="17">
        <v>-2</v>
      </c>
      <c r="AB249" s="37"/>
      <c r="AC249" s="14"/>
      <c r="AD249" s="14"/>
    </row>
    <row r="250" spans="2:30" x14ac:dyDescent="0.45">
      <c r="Y250" s="17" t="s">
        <v>79</v>
      </c>
      <c r="Z250" s="17"/>
      <c r="AA250" s="17">
        <v>-4</v>
      </c>
      <c r="AB250" s="37"/>
      <c r="AC250" s="14"/>
      <c r="AD250" s="14"/>
    </row>
    <row r="255" spans="2:30" ht="26.25" x14ac:dyDescent="0.45">
      <c r="B255" s="34" t="s">
        <v>0</v>
      </c>
      <c r="C255" s="35">
        <v>1</v>
      </c>
      <c r="D255" s="35">
        <v>2</v>
      </c>
      <c r="E255" s="35">
        <v>3</v>
      </c>
      <c r="F255" s="35">
        <v>4</v>
      </c>
      <c r="G255" s="35">
        <v>5</v>
      </c>
      <c r="H255" s="35">
        <v>6</v>
      </c>
      <c r="I255" s="35" t="s">
        <v>2</v>
      </c>
      <c r="K255" s="14" t="s">
        <v>113</v>
      </c>
      <c r="L255" s="14"/>
      <c r="M255" s="14"/>
    </row>
    <row r="256" spans="2:30" ht="26.25" x14ac:dyDescent="0.45">
      <c r="B256" s="34" t="s">
        <v>1</v>
      </c>
      <c r="C256" s="35"/>
      <c r="D256" s="35"/>
      <c r="E256" s="35"/>
      <c r="F256" s="35"/>
      <c r="G256" s="35"/>
      <c r="H256" s="35"/>
      <c r="I256" s="35"/>
      <c r="K256" s="39" t="s">
        <v>114</v>
      </c>
      <c r="L256" s="14"/>
      <c r="M256" s="14"/>
      <c r="N256" s="14"/>
      <c r="O256" s="14"/>
      <c r="P256" s="40">
        <v>5358</v>
      </c>
    </row>
    <row r="257" spans="2:9" ht="17.649999999999999" thickBot="1" x14ac:dyDescent="0.5">
      <c r="B257" s="36">
        <v>1</v>
      </c>
      <c r="C257" s="23">
        <v>0</v>
      </c>
      <c r="D257" s="23">
        <v>0</v>
      </c>
      <c r="E257" s="23">
        <v>0</v>
      </c>
      <c r="F257" s="23">
        <v>5</v>
      </c>
      <c r="G257" s="23">
        <v>0</v>
      </c>
      <c r="H257" s="23">
        <v>169</v>
      </c>
      <c r="I257" s="23">
        <v>174</v>
      </c>
    </row>
    <row r="258" spans="2:9" ht="17.649999999999999" thickBot="1" x14ac:dyDescent="0.5">
      <c r="B258" s="36">
        <v>2</v>
      </c>
      <c r="C258" s="23">
        <v>0</v>
      </c>
      <c r="D258" s="23">
        <v>113</v>
      </c>
      <c r="E258" s="23">
        <v>0</v>
      </c>
      <c r="F258" s="23">
        <v>6</v>
      </c>
      <c r="G258" s="23">
        <v>0</v>
      </c>
      <c r="H258" s="23">
        <v>0</v>
      </c>
      <c r="I258" s="23">
        <v>119</v>
      </c>
    </row>
    <row r="259" spans="2:9" ht="17.649999999999999" thickBot="1" x14ac:dyDescent="0.5">
      <c r="B259" s="36">
        <v>3</v>
      </c>
      <c r="C259" s="23">
        <f>55+11</f>
        <v>66</v>
      </c>
      <c r="D259" s="23">
        <v>0</v>
      </c>
      <c r="E259" s="23">
        <v>0</v>
      </c>
      <c r="F259" s="23">
        <v>0</v>
      </c>
      <c r="G259" s="23">
        <f>101-11</f>
        <v>90</v>
      </c>
      <c r="H259" s="23">
        <v>0</v>
      </c>
      <c r="I259" s="23">
        <v>156</v>
      </c>
    </row>
    <row r="260" spans="2:9" ht="17.649999999999999" thickBot="1" x14ac:dyDescent="0.5">
      <c r="B260" s="36">
        <v>4</v>
      </c>
      <c r="C260" s="23">
        <f>77+6</f>
        <v>83</v>
      </c>
      <c r="D260" s="23">
        <v>0</v>
      </c>
      <c r="E260" s="23">
        <v>0</v>
      </c>
      <c r="F260" s="23">
        <v>82</v>
      </c>
      <c r="G260" s="23">
        <v>0</v>
      </c>
      <c r="H260" s="23">
        <v>0</v>
      </c>
      <c r="I260" s="23">
        <v>165</v>
      </c>
    </row>
    <row r="261" spans="2:9" ht="17.649999999999999" thickBot="1" x14ac:dyDescent="0.5">
      <c r="B261" s="36">
        <v>5</v>
      </c>
      <c r="C261" s="23">
        <v>0</v>
      </c>
      <c r="D261" s="23">
        <v>0</v>
      </c>
      <c r="E261" s="23">
        <v>0</v>
      </c>
      <c r="F261" s="23">
        <v>106</v>
      </c>
      <c r="G261" s="23">
        <v>0</v>
      </c>
      <c r="H261" s="23">
        <v>0</v>
      </c>
      <c r="I261" s="23">
        <v>106</v>
      </c>
    </row>
    <row r="262" spans="2:9" ht="17.649999999999999" thickBot="1" x14ac:dyDescent="0.5">
      <c r="B262" s="36">
        <v>6</v>
      </c>
      <c r="C262" s="23">
        <f>148-54-77-6-11</f>
        <v>0</v>
      </c>
      <c r="D262" s="23">
        <v>0</v>
      </c>
      <c r="E262" s="23">
        <f>54+77+6</f>
        <v>137</v>
      </c>
      <c r="F262" s="23">
        <v>0</v>
      </c>
      <c r="G262" s="23">
        <v>11</v>
      </c>
      <c r="H262" s="23">
        <v>0</v>
      </c>
      <c r="I262" s="23">
        <v>148</v>
      </c>
    </row>
    <row r="263" spans="2:9" ht="26.65" thickBot="1" x14ac:dyDescent="0.5">
      <c r="B263" s="36" t="s">
        <v>3</v>
      </c>
      <c r="C263" s="23">
        <v>149</v>
      </c>
      <c r="D263" s="23">
        <v>113</v>
      </c>
      <c r="E263" s="23">
        <v>137</v>
      </c>
      <c r="F263" s="23">
        <v>199</v>
      </c>
      <c r="G263" s="23">
        <v>101</v>
      </c>
      <c r="H263" s="23">
        <v>169</v>
      </c>
      <c r="I263" s="23"/>
    </row>
  </sheetData>
  <mergeCells count="166">
    <mergeCell ref="AB247:AD250"/>
    <mergeCell ref="C255:C256"/>
    <mergeCell ref="D255:D256"/>
    <mergeCell ref="E255:E256"/>
    <mergeCell ref="F255:F256"/>
    <mergeCell ref="G255:G256"/>
    <mergeCell ref="H255:H256"/>
    <mergeCell ref="I255:I256"/>
    <mergeCell ref="K255:M255"/>
    <mergeCell ref="K256:O256"/>
    <mergeCell ref="R225:R226"/>
    <mergeCell ref="T225:U225"/>
    <mergeCell ref="U238:W238"/>
    <mergeCell ref="U239:W239"/>
    <mergeCell ref="Y225:AA225"/>
    <mergeCell ref="U218:W218"/>
    <mergeCell ref="U219:W219"/>
    <mergeCell ref="Y194:AA194"/>
    <mergeCell ref="C225:C226"/>
    <mergeCell ref="D225:D226"/>
    <mergeCell ref="E225:E226"/>
    <mergeCell ref="F225:F226"/>
    <mergeCell ref="G225:G226"/>
    <mergeCell ref="H225:H226"/>
    <mergeCell ref="I225:I226"/>
    <mergeCell ref="L225:L226"/>
    <mergeCell ref="M225:M226"/>
    <mergeCell ref="N225:N226"/>
    <mergeCell ref="O225:O226"/>
    <mergeCell ref="P225:P226"/>
    <mergeCell ref="Q225:Q226"/>
    <mergeCell ref="O205:O206"/>
    <mergeCell ref="P205:P206"/>
    <mergeCell ref="Q205:Q206"/>
    <mergeCell ref="R205:R206"/>
    <mergeCell ref="T205:U205"/>
    <mergeCell ref="H205:H206"/>
    <mergeCell ref="I205:I206"/>
    <mergeCell ref="L205:L206"/>
    <mergeCell ref="M205:M206"/>
    <mergeCell ref="N205:N206"/>
    <mergeCell ref="C205:C206"/>
    <mergeCell ref="D205:D206"/>
    <mergeCell ref="E205:E206"/>
    <mergeCell ref="F205:F206"/>
    <mergeCell ref="G205:G206"/>
    <mergeCell ref="R163:R164"/>
    <mergeCell ref="B174:C174"/>
    <mergeCell ref="G174:I174"/>
    <mergeCell ref="K174:M174"/>
    <mergeCell ref="G175:I175"/>
    <mergeCell ref="Y138:AA138"/>
    <mergeCell ref="Y139:AA139"/>
    <mergeCell ref="AC138:AE138"/>
    <mergeCell ref="C163:C164"/>
    <mergeCell ref="D163:D164"/>
    <mergeCell ref="E163:E164"/>
    <mergeCell ref="F163:F164"/>
    <mergeCell ref="G163:G164"/>
    <mergeCell ref="H163:H164"/>
    <mergeCell ref="I163:I164"/>
    <mergeCell ref="L163:L164"/>
    <mergeCell ref="M163:M164"/>
    <mergeCell ref="N163:N164"/>
    <mergeCell ref="O163:O164"/>
    <mergeCell ref="P163:P164"/>
    <mergeCell ref="Q163:Q164"/>
    <mergeCell ref="O138:O139"/>
    <mergeCell ref="P138:P139"/>
    <mergeCell ref="Q138:Q139"/>
    <mergeCell ref="R138:R139"/>
    <mergeCell ref="T138:U138"/>
    <mergeCell ref="H138:H139"/>
    <mergeCell ref="I138:I139"/>
    <mergeCell ref="L138:L139"/>
    <mergeCell ref="M138:M139"/>
    <mergeCell ref="N138:N139"/>
    <mergeCell ref="C138:C139"/>
    <mergeCell ref="D138:D139"/>
    <mergeCell ref="E138:E139"/>
    <mergeCell ref="F138:F139"/>
    <mergeCell ref="G138:G139"/>
    <mergeCell ref="S94:T94"/>
    <mergeCell ref="X94:Z94"/>
    <mergeCell ref="X95:Z95"/>
    <mergeCell ref="J106:L106"/>
    <mergeCell ref="B135:D135"/>
    <mergeCell ref="P95:P96"/>
    <mergeCell ref="Q95:Q96"/>
    <mergeCell ref="J94:Q94"/>
    <mergeCell ref="K95:K96"/>
    <mergeCell ref="L95:L96"/>
    <mergeCell ref="M95:M96"/>
    <mergeCell ref="N95:N96"/>
    <mergeCell ref="O95:O96"/>
    <mergeCell ref="G85:G86"/>
    <mergeCell ref="H85:H86"/>
    <mergeCell ref="B95:B96"/>
    <mergeCell ref="C95:C96"/>
    <mergeCell ref="D95:D96"/>
    <mergeCell ref="E95:E96"/>
    <mergeCell ref="F95:F96"/>
    <mergeCell ref="G95:G96"/>
    <mergeCell ref="H95:H96"/>
    <mergeCell ref="B85:B86"/>
    <mergeCell ref="C85:C86"/>
    <mergeCell ref="D85:D86"/>
    <mergeCell ref="E85:E86"/>
    <mergeCell ref="F85:F86"/>
    <mergeCell ref="G65:G66"/>
    <mergeCell ref="H65:H66"/>
    <mergeCell ref="B75:B76"/>
    <mergeCell ref="C75:C76"/>
    <mergeCell ref="D75:D76"/>
    <mergeCell ref="E75:E76"/>
    <mergeCell ref="F75:F76"/>
    <mergeCell ref="G75:G76"/>
    <mergeCell ref="H75:H76"/>
    <mergeCell ref="B65:B66"/>
    <mergeCell ref="C65:C66"/>
    <mergeCell ref="D65:D66"/>
    <mergeCell ref="E65:E66"/>
    <mergeCell ref="F65:F66"/>
    <mergeCell ref="G45:G46"/>
    <mergeCell ref="H45:H46"/>
    <mergeCell ref="B55:B56"/>
    <mergeCell ref="C55:C56"/>
    <mergeCell ref="D55:D56"/>
    <mergeCell ref="E55:E56"/>
    <mergeCell ref="F55:F56"/>
    <mergeCell ref="G55:G56"/>
    <mergeCell ref="H55:H56"/>
    <mergeCell ref="B45:B46"/>
    <mergeCell ref="C45:C46"/>
    <mergeCell ref="D45:D46"/>
    <mergeCell ref="E45:E46"/>
    <mergeCell ref="F45:F46"/>
    <mergeCell ref="H25:H26"/>
    <mergeCell ref="B35:B36"/>
    <mergeCell ref="C35:C36"/>
    <mergeCell ref="D35:D36"/>
    <mergeCell ref="E35:E36"/>
    <mergeCell ref="F35:F36"/>
    <mergeCell ref="G35:G36"/>
    <mergeCell ref="H35:H36"/>
    <mergeCell ref="C25:C26"/>
    <mergeCell ref="D25:D26"/>
    <mergeCell ref="E25:E26"/>
    <mergeCell ref="F25:F26"/>
    <mergeCell ref="G25:G26"/>
    <mergeCell ref="H15:H16"/>
    <mergeCell ref="B25:B26"/>
    <mergeCell ref="H1:H2"/>
    <mergeCell ref="A14:C14"/>
    <mergeCell ref="G1:G2"/>
    <mergeCell ref="B15:B16"/>
    <mergeCell ref="C15:C16"/>
    <mergeCell ref="D15:D16"/>
    <mergeCell ref="E15:E16"/>
    <mergeCell ref="F15:F16"/>
    <mergeCell ref="G15:G16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Лист1!_gjdgxs</vt:lpstr>
      <vt:lpstr>Лист1!_Toc216614671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Лебедь</dc:creator>
  <cp:lastModifiedBy>Полина Лебедь</cp:lastModifiedBy>
  <dcterms:created xsi:type="dcterms:W3CDTF">2026-03-25T19:58:51Z</dcterms:created>
  <dcterms:modified xsi:type="dcterms:W3CDTF">2026-04-01T21:36:53Z</dcterms:modified>
</cp:coreProperties>
</file>