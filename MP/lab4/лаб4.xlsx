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4_sem\MP\lab4\"/>
    </mc:Choice>
  </mc:AlternateContent>
  <xr:revisionPtr revIDLastSave="0" documentId="13_ncr:1_{6974E70F-05FB-44FE-A515-7FF155A7098F}" xr6:coauthVersionLast="47" xr6:coauthVersionMax="47" xr10:uidLastSave="{00000000-0000-0000-0000-000000000000}"/>
  <bookViews>
    <workbookView xWindow="-108" yWindow="-108" windowWidth="23256" windowHeight="13896" xr2:uid="{E77EC65C-C4F8-4884-AA2B-1CE99C8989E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" l="1"/>
  <c r="D12" i="1"/>
  <c r="D11" i="1"/>
  <c r="D10" i="1"/>
  <c r="D9" i="1"/>
  <c r="D8" i="1"/>
  <c r="D7" i="1"/>
  <c r="A12" i="1"/>
  <c r="A11" i="1"/>
  <c r="A10" i="1"/>
  <c r="A9" i="1"/>
  <c r="A7" i="1"/>
  <c r="A6" i="1"/>
</calcChain>
</file>

<file path=xl/sharedStrings.xml><?xml version="1.0" encoding="utf-8"?>
<sst xmlns="http://schemas.openxmlformats.org/spreadsheetml/2006/main" count="10" uniqueCount="8">
  <si>
    <t>k</t>
  </si>
  <si>
    <t>ms</t>
  </si>
  <si>
    <t>дин прог</t>
  </si>
  <si>
    <t>рекурсия</t>
  </si>
  <si>
    <t>&gt; 5 мин</t>
  </si>
  <si>
    <t>Длина</t>
  </si>
  <si>
    <t>Рекурсия</t>
  </si>
  <si>
    <t>Дин. Прогр.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</si>
</sst>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анализ времени дин прог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Лист1!$A$6:$A$12</c:f>
              <c:numCache>
                <c:formatCode>General</c:formatCode>
                <c:ptCount val="7"/>
                <c:pt idx="0">
                  <c:v>8</c:v>
                </c:pt>
                <c:pt idx="1">
                  <c:v>10</c:v>
                </c:pt>
                <c:pt idx="2">
                  <c:v>13</c:v>
                </c:pt>
                <c:pt idx="3">
                  <c:v>20</c:v>
                </c:pt>
                <c:pt idx="4">
                  <c:v>40</c:v>
                </c:pt>
                <c:pt idx="5">
                  <c:v>100</c:v>
                </c:pt>
                <c:pt idx="6">
                  <c:v>200</c:v>
                </c:pt>
              </c:numCache>
            </c:numRef>
          </c:cat>
          <c:val>
            <c:numRef>
              <c:f>Лист1!$B$6:$B$12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B5-41F1-A05D-E208F1AFB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3313887"/>
        <c:axId val="769016063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ряд2</c:v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Лист1!$E$6:$E$8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32</c:v>
                      </c:pt>
                      <c:pt idx="1">
                        <c:v>2020</c:v>
                      </c:pt>
                      <c:pt idx="2">
                        <c:v>10000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CB5-41F1-A05D-E208F1AFB372}"/>
                  </c:ext>
                </c:extLst>
              </c15:ser>
            </c15:filteredLineSeries>
          </c:ext>
        </c:extLst>
      </c:lineChart>
      <c:catAx>
        <c:axId val="683313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длина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016063"/>
        <c:crosses val="autoZero"/>
        <c:auto val="1"/>
        <c:lblAlgn val="ctr"/>
        <c:lblOffset val="100"/>
        <c:noMultiLvlLbl val="0"/>
      </c:catAx>
      <c:valAx>
        <c:axId val="76901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31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рекурсия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numRef>
              <c:f>Лист1!$D$6:$D$12</c:f>
              <c:numCache>
                <c:formatCode>General</c:formatCode>
                <c:ptCount val="7"/>
                <c:pt idx="0">
                  <c:v>12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>
                  <c:v>150</c:v>
                </c:pt>
                <c:pt idx="6">
                  <c:v>300</c:v>
                </c:pt>
              </c:numCache>
            </c:numRef>
          </c:cat>
          <c:val>
            <c:numRef>
              <c:f>Лист1!$E$6:$E$8</c:f>
              <c:numCache>
                <c:formatCode>General</c:formatCode>
                <c:ptCount val="3"/>
                <c:pt idx="0">
                  <c:v>32</c:v>
                </c:pt>
                <c:pt idx="1">
                  <c:v>2020</c:v>
                </c:pt>
                <c:pt idx="2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4A-4A08-9DD4-443DBE008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8515535"/>
        <c:axId val="848511215"/>
      </c:lineChart>
      <c:catAx>
        <c:axId val="848515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длина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511215"/>
        <c:crosses val="autoZero"/>
        <c:auto val="1"/>
        <c:lblAlgn val="ctr"/>
        <c:lblOffset val="100"/>
        <c:noMultiLvlLbl val="0"/>
      </c:catAx>
      <c:valAx>
        <c:axId val="84851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515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Рекурсия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Лист1!$O$6:$O$11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xVal>
          <c:yVal>
            <c:numRef>
              <c:f>Лист1!$P$6:$P$11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15</c:v>
                </c:pt>
                <c:pt idx="3">
                  <c:v>48</c:v>
                </c:pt>
                <c:pt idx="4">
                  <c:v>180</c:v>
                </c:pt>
                <c:pt idx="5">
                  <c:v>720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AE-458C-90FB-FF3930839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872816"/>
        <c:axId val="1389873776"/>
      </c:scatterChart>
      <c:valAx>
        <c:axId val="138987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873776"/>
        <c:crosses val="autoZero"/>
        <c:crossBetween val="midCat"/>
      </c:valAx>
      <c:valAx>
        <c:axId val="138987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87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Дин.</a:t>
            </a:r>
            <a:r>
              <a:rPr lang="ru-RU" baseline="0"/>
              <a:t> прогр.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Лист1!$Q$6:$Q$11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xVal>
          <c:yVal>
            <c:numRef>
              <c:f>Лист1!$R$6:$R$11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91-46D6-9DB2-0F6863854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7245760"/>
        <c:axId val="1397251040"/>
      </c:scatterChart>
      <c:valAx>
        <c:axId val="1397245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251040"/>
        <c:crosses val="autoZero"/>
        <c:crossBetween val="midCat"/>
      </c:valAx>
      <c:valAx>
        <c:axId val="139725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245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644261</xdr:colOff>
      <xdr:row>1</xdr:row>
      <xdr:rowOff>6</xdr:rowOff>
    </xdr:from>
    <xdr:to>
      <xdr:col>13</xdr:col>
      <xdr:colOff>34661</xdr:colOff>
      <xdr:row>16</xdr:row>
      <xdr:rowOff>28582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6982D44-3A81-27E2-9FD4-95E442D127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625076</xdr:colOff>
      <xdr:row>17</xdr:row>
      <xdr:rowOff>27384</xdr:rowOff>
    </xdr:from>
    <xdr:to>
      <xdr:col>13</xdr:col>
      <xdr:colOff>5951</xdr:colOff>
      <xdr:row>32</xdr:row>
      <xdr:rowOff>91678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BC95C78-E6AF-3DEC-11AB-15ECAB66A2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391885</xdr:colOff>
      <xdr:row>2</xdr:row>
      <xdr:rowOff>168729</xdr:rowOff>
    </xdr:from>
    <xdr:to>
      <xdr:col>27</xdr:col>
      <xdr:colOff>87085</xdr:colOff>
      <xdr:row>17</xdr:row>
      <xdr:rowOff>136072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C0374A9F-C441-4FA5-83FA-6539599F54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391885</xdr:colOff>
      <xdr:row>20</xdr:row>
      <xdr:rowOff>27214</xdr:rowOff>
    </xdr:from>
    <xdr:to>
      <xdr:col>27</xdr:col>
      <xdr:colOff>87085</xdr:colOff>
      <xdr:row>34</xdr:row>
      <xdr:rowOff>179614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F1EDF195-66F9-BF60-4B24-E7BB0D8DDD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D9F42-13DA-463B-8390-A7356DD109D9}">
  <dimension ref="A4:R12"/>
  <sheetViews>
    <sheetView tabSelected="1" topLeftCell="C1" zoomScale="70" zoomScaleNormal="70" workbookViewId="0">
      <selection activeCell="AB20" sqref="AB20"/>
    </sheetView>
  </sheetViews>
  <sheetFormatPr defaultRowHeight="14.4" x14ac:dyDescent="0.3"/>
  <sheetData>
    <row r="4" spans="1:18" x14ac:dyDescent="0.3">
      <c r="A4" s="2" t="s">
        <v>2</v>
      </c>
      <c r="B4" s="2"/>
      <c r="D4" s="2" t="s">
        <v>3</v>
      </c>
      <c r="E4" s="2"/>
      <c r="O4" t="s">
        <v>5</v>
      </c>
      <c r="P4" t="s">
        <v>6</v>
      </c>
      <c r="R4" t="s">
        <v>7</v>
      </c>
    </row>
    <row r="5" spans="1:18" x14ac:dyDescent="0.3">
      <c r="A5" t="s">
        <v>0</v>
      </c>
      <c r="B5" t="s">
        <v>1</v>
      </c>
      <c r="D5" t="s">
        <v>0</v>
      </c>
      <c r="E5" t="s">
        <v>1</v>
      </c>
    </row>
    <row r="6" spans="1:18" x14ac:dyDescent="0.3">
      <c r="A6" s="1">
        <f>200/25</f>
        <v>8</v>
      </c>
      <c r="B6" s="1">
        <v>0</v>
      </c>
      <c r="D6" s="1">
        <f>300/25</f>
        <v>12</v>
      </c>
      <c r="E6" s="1">
        <v>32</v>
      </c>
      <c r="O6">
        <v>2</v>
      </c>
      <c r="P6">
        <v>2</v>
      </c>
      <c r="Q6">
        <v>2</v>
      </c>
      <c r="R6">
        <v>1</v>
      </c>
    </row>
    <row r="7" spans="1:18" x14ac:dyDescent="0.3">
      <c r="A7" s="1">
        <f>200/20</f>
        <v>10</v>
      </c>
      <c r="B7" s="1">
        <v>0</v>
      </c>
      <c r="D7" s="1">
        <f>300/20</f>
        <v>15</v>
      </c>
      <c r="E7" s="1">
        <v>2020</v>
      </c>
      <c r="O7">
        <v>3</v>
      </c>
      <c r="P7">
        <v>5</v>
      </c>
      <c r="Q7">
        <v>3</v>
      </c>
      <c r="R7">
        <v>1</v>
      </c>
    </row>
    <row r="8" spans="1:18" x14ac:dyDescent="0.3">
      <c r="A8" s="1">
        <v>13</v>
      </c>
      <c r="B8" s="1">
        <v>0</v>
      </c>
      <c r="D8" s="1">
        <f>300/15</f>
        <v>20</v>
      </c>
      <c r="E8" s="1">
        <v>10000</v>
      </c>
      <c r="O8">
        <v>4</v>
      </c>
      <c r="P8">
        <v>15</v>
      </c>
      <c r="Q8">
        <v>4</v>
      </c>
      <c r="R8">
        <v>2</v>
      </c>
    </row>
    <row r="9" spans="1:18" x14ac:dyDescent="0.3">
      <c r="A9" s="1">
        <f>200/10</f>
        <v>20</v>
      </c>
      <c r="B9" s="1">
        <v>0</v>
      </c>
      <c r="D9" s="1">
        <f>300/10</f>
        <v>30</v>
      </c>
      <c r="E9" t="s">
        <v>4</v>
      </c>
      <c r="O9">
        <v>5</v>
      </c>
      <c r="P9">
        <v>48</v>
      </c>
      <c r="Q9">
        <v>5</v>
      </c>
      <c r="R9">
        <v>2</v>
      </c>
    </row>
    <row r="10" spans="1:18" x14ac:dyDescent="0.3">
      <c r="A10" s="1">
        <f>200/5</f>
        <v>40</v>
      </c>
      <c r="B10" s="1">
        <v>0</v>
      </c>
      <c r="D10" s="1">
        <f>300/5</f>
        <v>60</v>
      </c>
      <c r="O10">
        <v>6</v>
      </c>
      <c r="P10">
        <v>180</v>
      </c>
      <c r="Q10">
        <v>6</v>
      </c>
      <c r="R10">
        <v>3</v>
      </c>
    </row>
    <row r="11" spans="1:18" x14ac:dyDescent="0.3">
      <c r="A11" s="1">
        <f>200/2</f>
        <v>100</v>
      </c>
      <c r="B11" s="1">
        <v>0</v>
      </c>
      <c r="D11" s="1">
        <f>300/2</f>
        <v>150</v>
      </c>
      <c r="O11">
        <v>7</v>
      </c>
      <c r="P11">
        <v>720</v>
      </c>
      <c r="Q11">
        <v>7</v>
      </c>
      <c r="R11">
        <v>4</v>
      </c>
    </row>
    <row r="12" spans="1:18" x14ac:dyDescent="0.3">
      <c r="A12" s="1">
        <f>200/1</f>
        <v>200</v>
      </c>
      <c r="B12" s="1">
        <v>1</v>
      </c>
      <c r="D12" s="1">
        <f>300/1</f>
        <v>300</v>
      </c>
    </row>
  </sheetData>
  <mergeCells count="2">
    <mergeCell ref="A4:B4"/>
    <mergeCell ref="D4:E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Полина Лебедь</dc:creator>
  <cp:lastModifiedBy>Диана Воронович</cp:lastModifiedBy>
  <dcterms:created xsi:type="dcterms:W3CDTF">2026-03-12T12:50:57Z</dcterms:created>
  <dcterms:modified xsi:type="dcterms:W3CDTF">2026-04-02T20:30:15Z</dcterms:modified>
</cp:coreProperties>
</file>